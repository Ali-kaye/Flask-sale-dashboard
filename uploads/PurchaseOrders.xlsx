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autoCompressPictures="0"/>
  <bookViews>
    <workbookView xWindow="-105" yWindow="-105" windowWidth="19425" windowHeight="10425" tabRatio="673"/>
  </bookViews>
  <sheets>
    <sheet name="Data" sheetId="3" r:id="rId1"/>
    <sheet name="Mean" sheetId="4" r:id="rId2"/>
    <sheet name="Median" sheetId="6" r:id="rId3"/>
    <sheet name="Variance" sheetId="5" r:id="rId4"/>
    <sheet name="z-scores" sheetId="7" r:id="rId5"/>
    <sheet name="Descriptive Statistics" sheetId="8" r:id="rId6"/>
  </sheets>
  <definedNames>
    <definedName name="_xlnm._FilterDatabase" localSheetId="0" hidden="1">Data!$A$3:$J$97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9" i="3" l="1"/>
  <c r="B97" i="7" l="1"/>
  <c r="C50" i="7" s="1"/>
  <c r="B98" i="7"/>
  <c r="C95" i="7" s="1"/>
  <c r="B96" i="5"/>
  <c r="B99" i="5" s="1"/>
  <c r="B97" i="5"/>
  <c r="D101" i="5"/>
  <c r="D48" i="6"/>
  <c r="D50" i="6" s="1"/>
  <c r="D49" i="6"/>
  <c r="B101" i="4"/>
  <c r="B96" i="4"/>
  <c r="B99" i="4" s="1"/>
  <c r="B97" i="4"/>
  <c r="G66" i="3"/>
  <c r="G8" i="3"/>
  <c r="G10" i="3"/>
  <c r="G35" i="3"/>
  <c r="G92" i="3"/>
  <c r="G18" i="3"/>
  <c r="G73" i="3"/>
  <c r="G77" i="3"/>
  <c r="G5" i="3"/>
  <c r="G38" i="3"/>
  <c r="G59" i="3"/>
  <c r="G42" i="3"/>
  <c r="G52" i="3"/>
  <c r="G86" i="3"/>
  <c r="G36" i="3"/>
  <c r="G53" i="3"/>
  <c r="G58" i="3"/>
  <c r="G65" i="3"/>
  <c r="G64" i="3"/>
  <c r="G60" i="3"/>
  <c r="G39" i="3"/>
  <c r="G43" i="3"/>
  <c r="G61" i="3"/>
  <c r="G74" i="3"/>
  <c r="G62" i="3"/>
  <c r="G44" i="3"/>
  <c r="G63" i="3"/>
  <c r="G78" i="3"/>
  <c r="G88" i="3"/>
  <c r="G54" i="3"/>
  <c r="G24" i="3"/>
  <c r="G32" i="3"/>
  <c r="G45" i="3"/>
  <c r="G75" i="3"/>
  <c r="G93" i="3"/>
  <c r="G89" i="3"/>
  <c r="G55" i="3"/>
  <c r="G25" i="3"/>
  <c r="G22" i="3"/>
  <c r="G79" i="3"/>
  <c r="G87" i="3"/>
  <c r="G67" i="3"/>
  <c r="G40" i="3"/>
  <c r="G11" i="3"/>
  <c r="G26" i="3"/>
  <c r="G48" i="3"/>
  <c r="G80" i="3"/>
  <c r="G51" i="3"/>
  <c r="G12" i="3"/>
  <c r="G34" i="3"/>
  <c r="G46" i="3"/>
  <c r="G72" i="3"/>
  <c r="G81" i="3"/>
  <c r="G90" i="3"/>
  <c r="G91" i="3"/>
  <c r="G94" i="3"/>
  <c r="G9" i="3"/>
  <c r="G95" i="3"/>
  <c r="G7" i="3"/>
  <c r="G6" i="3"/>
  <c r="G96" i="3"/>
  <c r="G17" i="3"/>
  <c r="G27" i="3"/>
  <c r="G21" i="3"/>
  <c r="G76" i="3"/>
  <c r="G68" i="3"/>
  <c r="G56" i="3"/>
  <c r="G82" i="3"/>
  <c r="G13" i="3"/>
  <c r="G84" i="3"/>
  <c r="G85" i="3"/>
  <c r="G14" i="3"/>
  <c r="G97" i="3"/>
  <c r="G4" i="3"/>
  <c r="G15" i="3"/>
  <c r="G47" i="3"/>
  <c r="G69" i="3"/>
  <c r="G23" i="3"/>
  <c r="G20" i="3"/>
  <c r="G57" i="3"/>
  <c r="G70" i="3"/>
  <c r="G28" i="3"/>
  <c r="G31" i="3"/>
  <c r="G49" i="3"/>
  <c r="G29" i="3"/>
  <c r="G30" i="3"/>
  <c r="G33" i="3"/>
  <c r="G16" i="3"/>
  <c r="G50" i="3"/>
  <c r="G37" i="3"/>
  <c r="G83" i="3"/>
  <c r="G71" i="3"/>
  <c r="G41" i="3"/>
  <c r="C2" i="5" l="1"/>
  <c r="D2" i="5" s="1"/>
  <c r="C6" i="5"/>
  <c r="D6" i="5" s="1"/>
  <c r="C10" i="5"/>
  <c r="D10" i="5" s="1"/>
  <c r="C14" i="5"/>
  <c r="D14" i="5" s="1"/>
  <c r="C18" i="5"/>
  <c r="D18" i="5" s="1"/>
  <c r="C22" i="5"/>
  <c r="D22" i="5" s="1"/>
  <c r="C26" i="5"/>
  <c r="D26" i="5" s="1"/>
  <c r="C30" i="5"/>
  <c r="D30" i="5" s="1"/>
  <c r="C34" i="5"/>
  <c r="D34" i="5" s="1"/>
  <c r="C38" i="5"/>
  <c r="D38" i="5" s="1"/>
  <c r="C42" i="5"/>
  <c r="D42" i="5" s="1"/>
  <c r="C46" i="5"/>
  <c r="D46" i="5" s="1"/>
  <c r="C50" i="5"/>
  <c r="D50" i="5" s="1"/>
  <c r="C54" i="5"/>
  <c r="D54" i="5" s="1"/>
  <c r="C58" i="5"/>
  <c r="D58" i="5" s="1"/>
  <c r="C62" i="5"/>
  <c r="D62" i="5" s="1"/>
  <c r="C66" i="5"/>
  <c r="D66" i="5" s="1"/>
  <c r="C70" i="5"/>
  <c r="D70" i="5" s="1"/>
  <c r="C74" i="5"/>
  <c r="D74" i="5" s="1"/>
  <c r="C78" i="5"/>
  <c r="D78" i="5" s="1"/>
  <c r="C82" i="5"/>
  <c r="D82" i="5" s="1"/>
  <c r="C86" i="5"/>
  <c r="D86" i="5" s="1"/>
  <c r="C90" i="5"/>
  <c r="D90" i="5" s="1"/>
  <c r="C94" i="5"/>
  <c r="D94" i="5" s="1"/>
  <c r="C9" i="5"/>
  <c r="D9" i="5" s="1"/>
  <c r="C17" i="5"/>
  <c r="D17" i="5" s="1"/>
  <c r="C25" i="5"/>
  <c r="D25" i="5" s="1"/>
  <c r="C33" i="5"/>
  <c r="D33" i="5" s="1"/>
  <c r="C37" i="5"/>
  <c r="D37" i="5" s="1"/>
  <c r="C45" i="5"/>
  <c r="D45" i="5" s="1"/>
  <c r="C57" i="5"/>
  <c r="D57" i="5" s="1"/>
  <c r="C65" i="5"/>
  <c r="D65" i="5" s="1"/>
  <c r="C73" i="5"/>
  <c r="D73" i="5" s="1"/>
  <c r="C81" i="5"/>
  <c r="D81" i="5" s="1"/>
  <c r="C89" i="5"/>
  <c r="D89" i="5" s="1"/>
  <c r="C3" i="5"/>
  <c r="D3" i="5" s="1"/>
  <c r="C7" i="5"/>
  <c r="D7" i="5" s="1"/>
  <c r="C11" i="5"/>
  <c r="D11" i="5" s="1"/>
  <c r="C15" i="5"/>
  <c r="D15" i="5" s="1"/>
  <c r="C19" i="5"/>
  <c r="D19" i="5" s="1"/>
  <c r="C23" i="5"/>
  <c r="D23" i="5" s="1"/>
  <c r="C27" i="5"/>
  <c r="D27" i="5" s="1"/>
  <c r="C31" i="5"/>
  <c r="D31" i="5" s="1"/>
  <c r="C35" i="5"/>
  <c r="D35" i="5" s="1"/>
  <c r="C39" i="5"/>
  <c r="D39" i="5" s="1"/>
  <c r="C43" i="5"/>
  <c r="D43" i="5" s="1"/>
  <c r="C47" i="5"/>
  <c r="D47" i="5" s="1"/>
  <c r="C51" i="5"/>
  <c r="D51" i="5" s="1"/>
  <c r="C55" i="5"/>
  <c r="D55" i="5" s="1"/>
  <c r="C59" i="5"/>
  <c r="D59" i="5" s="1"/>
  <c r="C63" i="5"/>
  <c r="D63" i="5" s="1"/>
  <c r="C67" i="5"/>
  <c r="D67" i="5" s="1"/>
  <c r="C71" i="5"/>
  <c r="D71" i="5" s="1"/>
  <c r="C75" i="5"/>
  <c r="D75" i="5" s="1"/>
  <c r="C79" i="5"/>
  <c r="D79" i="5" s="1"/>
  <c r="C83" i="5"/>
  <c r="D83" i="5" s="1"/>
  <c r="C87" i="5"/>
  <c r="D87" i="5" s="1"/>
  <c r="C91" i="5"/>
  <c r="D91" i="5" s="1"/>
  <c r="C95" i="5"/>
  <c r="D95" i="5" s="1"/>
  <c r="C5" i="5"/>
  <c r="D5" i="5" s="1"/>
  <c r="C13" i="5"/>
  <c r="D13" i="5" s="1"/>
  <c r="C21" i="5"/>
  <c r="D21" i="5" s="1"/>
  <c r="C29" i="5"/>
  <c r="D29" i="5" s="1"/>
  <c r="C41" i="5"/>
  <c r="D41" i="5" s="1"/>
  <c r="C49" i="5"/>
  <c r="D49" i="5" s="1"/>
  <c r="C53" i="5"/>
  <c r="D53" i="5" s="1"/>
  <c r="C61" i="5"/>
  <c r="D61" i="5" s="1"/>
  <c r="C69" i="5"/>
  <c r="D69" i="5" s="1"/>
  <c r="C77" i="5"/>
  <c r="D77" i="5" s="1"/>
  <c r="C85" i="5"/>
  <c r="D85" i="5" s="1"/>
  <c r="C93" i="5"/>
  <c r="D93" i="5" s="1"/>
  <c r="C4" i="5"/>
  <c r="D4" i="5" s="1"/>
  <c r="C8" i="5"/>
  <c r="D8" i="5" s="1"/>
  <c r="C12" i="5"/>
  <c r="D12" i="5" s="1"/>
  <c r="C16" i="5"/>
  <c r="D16" i="5" s="1"/>
  <c r="C20" i="5"/>
  <c r="D20" i="5" s="1"/>
  <c r="C24" i="5"/>
  <c r="D24" i="5" s="1"/>
  <c r="C28" i="5"/>
  <c r="D28" i="5" s="1"/>
  <c r="C32" i="5"/>
  <c r="D32" i="5" s="1"/>
  <c r="C36" i="5"/>
  <c r="D36" i="5" s="1"/>
  <c r="C40" i="5"/>
  <c r="D40" i="5" s="1"/>
  <c r="C44" i="5"/>
  <c r="D44" i="5" s="1"/>
  <c r="C48" i="5"/>
  <c r="D48" i="5" s="1"/>
  <c r="C52" i="5"/>
  <c r="D52" i="5" s="1"/>
  <c r="C56" i="5"/>
  <c r="D56" i="5" s="1"/>
  <c r="C60" i="5"/>
  <c r="D60" i="5" s="1"/>
  <c r="C64" i="5"/>
  <c r="D64" i="5" s="1"/>
  <c r="C68" i="5"/>
  <c r="D68" i="5" s="1"/>
  <c r="C72" i="5"/>
  <c r="D72" i="5" s="1"/>
  <c r="C76" i="5"/>
  <c r="D76" i="5" s="1"/>
  <c r="C80" i="5"/>
  <c r="D80" i="5" s="1"/>
  <c r="C84" i="5"/>
  <c r="D84" i="5" s="1"/>
  <c r="C88" i="5"/>
  <c r="D88" i="5" s="1"/>
  <c r="C92" i="5"/>
  <c r="D92" i="5" s="1"/>
  <c r="C7" i="7"/>
  <c r="C31" i="7"/>
  <c r="C84" i="7"/>
  <c r="C68" i="7"/>
  <c r="C34" i="7"/>
  <c r="C70" i="7"/>
  <c r="C79" i="7"/>
  <c r="C74" i="7"/>
  <c r="C16" i="7"/>
  <c r="C46" i="7"/>
  <c r="C10" i="7"/>
  <c r="C56" i="7"/>
  <c r="C24" i="7"/>
  <c r="C65" i="7"/>
  <c r="C38" i="7"/>
  <c r="C64" i="7"/>
  <c r="C60" i="7"/>
  <c r="C14" i="7"/>
  <c r="C43" i="7"/>
  <c r="C17" i="7"/>
  <c r="C6" i="7"/>
  <c r="C47" i="7"/>
  <c r="C55" i="7"/>
  <c r="C49" i="7"/>
  <c r="C59" i="7"/>
  <c r="C75" i="7"/>
  <c r="C93" i="7"/>
  <c r="C85" i="7"/>
  <c r="C80" i="7"/>
  <c r="C28" i="7"/>
  <c r="C71" i="7"/>
  <c r="C66" i="7"/>
  <c r="C9" i="7"/>
  <c r="C37" i="7"/>
  <c r="C3" i="7"/>
  <c r="C39" i="7"/>
  <c r="C32" i="7"/>
  <c r="C23" i="7"/>
  <c r="C62" i="7"/>
  <c r="C4" i="7"/>
  <c r="C36" i="7"/>
  <c r="C72" i="7"/>
  <c r="C18" i="7"/>
  <c r="C86" i="7"/>
  <c r="C82" i="7"/>
  <c r="C29" i="7"/>
  <c r="C30" i="7"/>
  <c r="C61" i="7"/>
  <c r="C22" i="7"/>
  <c r="C33" i="7"/>
  <c r="C5" i="7"/>
  <c r="C13" i="7"/>
  <c r="C20" i="7"/>
  <c r="C12" i="7"/>
  <c r="C57" i="7"/>
  <c r="C53" i="7"/>
  <c r="C78" i="7"/>
  <c r="C90" i="7"/>
  <c r="C83" i="7"/>
  <c r="C73" i="7"/>
  <c r="C8" i="7"/>
  <c r="C77" i="7"/>
  <c r="C41" i="7"/>
  <c r="C81" i="7"/>
  <c r="C94" i="7"/>
  <c r="C21" i="7"/>
  <c r="C87" i="7"/>
  <c r="C40" i="7"/>
  <c r="C51" i="7"/>
  <c r="C76" i="7"/>
  <c r="C25" i="7"/>
  <c r="C89" i="7"/>
  <c r="C2" i="7"/>
  <c r="C91" i="7"/>
  <c r="C63" i="7"/>
  <c r="C11" i="7"/>
  <c r="C69" i="7"/>
  <c r="C15" i="7"/>
  <c r="C44" i="7"/>
  <c r="C19" i="7"/>
  <c r="C92" i="7"/>
  <c r="C58" i="7"/>
  <c r="C26" i="7"/>
  <c r="C27" i="7"/>
  <c r="C88" i="7"/>
  <c r="C35" i="7"/>
  <c r="C42" i="7"/>
  <c r="C67" i="7"/>
  <c r="C48" i="7"/>
  <c r="C54" i="7"/>
  <c r="C52" i="7"/>
  <c r="C45" i="7"/>
  <c r="D96" i="5" l="1"/>
  <c r="D99" i="5" s="1"/>
</calcChain>
</file>

<file path=xl/sharedStrings.xml><?xml version="1.0" encoding="utf-8"?>
<sst xmlns="http://schemas.openxmlformats.org/spreadsheetml/2006/main" count="627" uniqueCount="246">
  <si>
    <t>Quantity</t>
  </si>
  <si>
    <t>Spacetime Technologies</t>
  </si>
  <si>
    <t>Durrable Products</t>
  </si>
  <si>
    <t>Fast-Tie Aerospace</t>
  </si>
  <si>
    <t>Airframe fasteners</t>
  </si>
  <si>
    <t>Bolt-nut package</t>
  </si>
  <si>
    <t>Gasket</t>
  </si>
  <si>
    <t>Hulkey Fasteners</t>
  </si>
  <si>
    <t>Alum Sheeting</t>
  </si>
  <si>
    <t>Steelpin Inc.</t>
  </si>
  <si>
    <t>Manley Valve</t>
  </si>
  <si>
    <t>Pylon Accessories</t>
  </si>
  <si>
    <t>Control Panel</t>
  </si>
  <si>
    <t>Side Panel</t>
  </si>
  <si>
    <t>Electrical Connector</t>
  </si>
  <si>
    <t>Panel Decal</t>
  </si>
  <si>
    <t>Hatch Decal</t>
  </si>
  <si>
    <t>Door Decal</t>
  </si>
  <si>
    <t>Machined Valve</t>
  </si>
  <si>
    <t>Pressure Gauge</t>
  </si>
  <si>
    <t>Shielded Cable/ft.</t>
  </si>
  <si>
    <t>O-Ring</t>
  </si>
  <si>
    <t>Order No.</t>
  </si>
  <si>
    <t>Item No.</t>
  </si>
  <si>
    <t>Item Description</t>
  </si>
  <si>
    <t>Item Cost</t>
  </si>
  <si>
    <t>Cost per order</t>
  </si>
  <si>
    <t>Arrival Date</t>
  </si>
  <si>
    <t>Order Date</t>
  </si>
  <si>
    <t>Purchase Orders</t>
  </si>
  <si>
    <t xml:space="preserve">Supplier </t>
  </si>
  <si>
    <t>A/P Terms (Months)</t>
  </si>
  <si>
    <t>Sum of cost/order</t>
  </si>
  <si>
    <t>Number of observations</t>
  </si>
  <si>
    <t>Mean cost/order</t>
  </si>
  <si>
    <t>Excel AVERAGE  function</t>
  </si>
  <si>
    <t>Rank</t>
  </si>
  <si>
    <t>Median</t>
  </si>
  <si>
    <t>Average</t>
  </si>
  <si>
    <t>Observation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</si>
  <si>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</si>
  <si>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</si>
  <si>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</si>
  <si>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</si>
  <si>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</si>
  <si>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</si>
  <si>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</si>
  <si>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</si>
  <si>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</si>
  <si>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</si>
  <si>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</si>
  <si>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</si>
  <si>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</si>
  <si>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</si>
  <si>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</si>
  <si>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</si>
  <si>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</si>
  <si>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</si>
  <si>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</si>
  <si>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</si>
  <si>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</si>
  <si>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</si>
  <si>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</si>
  <si>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</si>
  <si>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</si>
  <si>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</si>
  <si>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</si>
  <si>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</si>
  <si>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</si>
  <si>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</si>
  <si>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</si>
  <si>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</si>
  <si>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</si>
  <si>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</si>
  <si>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</si>
  <si>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</si>
  <si>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</si>
  <si>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</si>
  <si>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</si>
  <si>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</si>
  <si>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</si>
  <si>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</si>
  <si>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</si>
  <si>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</si>
  <si>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</si>
  <si>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</si>
  <si>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</si>
  <si>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</si>
  <si>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</si>
  <si>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</si>
  <si>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</si>
  <si>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</si>
  <si>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</si>
  <si>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</si>
  <si>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</si>
  <si>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</si>
  <si>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</si>
  <si>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</si>
  <si>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</si>
  <si>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</si>
  <si>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</si>
  <si>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</si>
  <si>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</si>
  <si>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</si>
  <si>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</si>
  <si>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</si>
  <si>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</si>
  <si>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</si>
  <si>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</si>
  <si>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</si>
  <si>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</si>
  <si>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</si>
  <si>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</si>
  <si>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</si>
  <si>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</si>
  <si>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</si>
  <si>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</si>
  <si>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</si>
  <si>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</si>
  <si>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</si>
  <si>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</si>
  <si>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</si>
  <si>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</si>
  <si>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</si>
  <si>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</si>
  <si>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</si>
  <si>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</si>
  <si>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</si>
  <si>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</si>
  <si>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</si>
  <si>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</si>
  <si>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</si>
  <si>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</si>
  <si>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</si>
  <si>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(xi - mean)</t>
  </si>
  <si>
    <t>(xi - mean)^2</t>
  </si>
  <si>
    <t>Sum</t>
  </si>
  <si>
    <t>Sum of squared deviations</t>
  </si>
  <si>
    <t>Variance</t>
  </si>
  <si>
    <t>Excel VAR.S function</t>
  </si>
  <si>
    <t>Mean</t>
  </si>
  <si>
    <t>z-score</t>
  </si>
  <si>
    <t>Standard Deviation</t>
  </si>
  <si>
    <t>Standard Error</t>
  </si>
  <si>
    <t>Mode</t>
  </si>
  <si>
    <t>Sample Variance</t>
  </si>
  <si>
    <t>Kurtosis</t>
  </si>
  <si>
    <t>Skewness</t>
  </si>
  <si>
    <t>Range</t>
  </si>
  <si>
    <t>Minimum</t>
  </si>
  <si>
    <t>Maximum</t>
  </si>
  <si>
    <t>Count</t>
  </si>
  <si>
    <t>Aug11001</t>
  </si>
  <si>
    <t>Aug11002</t>
  </si>
  <si>
    <t>Aug11003</t>
  </si>
  <si>
    <t>Aug11004</t>
  </si>
  <si>
    <t>Aug11005</t>
  </si>
  <si>
    <t>Aug11006</t>
  </si>
  <si>
    <t>Aug11007</t>
  </si>
  <si>
    <t>Aug11008</t>
  </si>
  <si>
    <t>Aug11009</t>
  </si>
  <si>
    <t>Aug11010</t>
  </si>
  <si>
    <t>Aug11011</t>
  </si>
  <si>
    <t>Aug11012</t>
  </si>
  <si>
    <t>Aug11013</t>
  </si>
  <si>
    <t>Aug11014</t>
  </si>
  <si>
    <t>Sep11001</t>
  </si>
  <si>
    <t>Sep11002</t>
  </si>
  <si>
    <t>Sep11003</t>
  </si>
  <si>
    <t>Sep11004</t>
  </si>
  <si>
    <t>Sep11005</t>
  </si>
  <si>
    <t>Sep11006</t>
  </si>
  <si>
    <t>Sep11007</t>
  </si>
  <si>
    <t>Sep11008</t>
  </si>
  <si>
    <t>Sep11009</t>
  </si>
  <si>
    <t>Sep11010</t>
  </si>
  <si>
    <t>Sep11011</t>
  </si>
  <si>
    <t>Sep11012</t>
  </si>
  <si>
    <t>Sep11013</t>
  </si>
  <si>
    <t>Sep11014</t>
  </si>
  <si>
    <t>Sep11015</t>
  </si>
  <si>
    <t>Sep11016</t>
  </si>
  <si>
    <t>Sep11017</t>
  </si>
  <si>
    <t>Oct11001</t>
  </si>
  <si>
    <t>Oct11002</t>
  </si>
  <si>
    <t>Oct11003</t>
  </si>
  <si>
    <t>Oct11004</t>
  </si>
  <si>
    <t>Oct11005</t>
  </si>
  <si>
    <t>Oct11006</t>
  </si>
  <si>
    <t>Oct11007</t>
  </si>
  <si>
    <t>Oct11008</t>
  </si>
  <si>
    <t>Oct11009</t>
  </si>
  <si>
    <t>Oct11010</t>
  </si>
  <si>
    <t>Oct11011</t>
  </si>
  <si>
    <t>Oct11012</t>
  </si>
  <si>
    <t>Oct11013</t>
  </si>
  <si>
    <t>Oct11014</t>
  </si>
  <si>
    <t>Oct11015</t>
  </si>
  <si>
    <t>Oct11016</t>
  </si>
  <si>
    <t>Sep11018</t>
  </si>
  <si>
    <t>Sep11019</t>
  </si>
  <si>
    <t>Sep11020</t>
  </si>
  <si>
    <t>Sep11021</t>
  </si>
  <si>
    <t>Sep11022</t>
  </si>
  <si>
    <t>Sep11023</t>
  </si>
  <si>
    <t>Sep11024</t>
  </si>
  <si>
    <t>Sep11025</t>
  </si>
  <si>
    <t>Sep11026</t>
  </si>
  <si>
    <t>Sep11027</t>
  </si>
  <si>
    <t>Sep11028</t>
  </si>
  <si>
    <t>Sep11029</t>
  </si>
  <si>
    <t>Sep11030</t>
  </si>
  <si>
    <t>Sep11031</t>
  </si>
  <si>
    <t>Sep11032</t>
  </si>
  <si>
    <t>Sep11033</t>
  </si>
  <si>
    <t>Sep11034</t>
  </si>
  <si>
    <t>Oct11017</t>
  </si>
  <si>
    <t>Oct11018</t>
  </si>
  <si>
    <t>Oct11019</t>
  </si>
  <si>
    <t>Oct11020</t>
  </si>
  <si>
    <t>Oct11021</t>
  </si>
  <si>
    <t>Oct11022</t>
  </si>
  <si>
    <t>Oct11023</t>
  </si>
  <si>
    <t>Oct11024</t>
  </si>
  <si>
    <t>Oct11025</t>
  </si>
  <si>
    <t>Oct11026</t>
  </si>
  <si>
    <t>Oct11027</t>
  </si>
  <si>
    <t>Oct11028</t>
  </si>
  <si>
    <t>Oct11029</t>
  </si>
  <si>
    <t>Oct11030</t>
  </si>
  <si>
    <t>Oct11031</t>
  </si>
  <si>
    <t>Oct11032</t>
  </si>
  <si>
    <t>Oct11033</t>
  </si>
  <si>
    <t>Oct11034</t>
  </si>
  <si>
    <t>Oct11035</t>
  </si>
  <si>
    <t>Oct11036</t>
  </si>
  <si>
    <t>Nov11001</t>
  </si>
  <si>
    <t>Nov11002</t>
  </si>
  <si>
    <t>Nov11003</t>
  </si>
  <si>
    <t>Nov11004</t>
  </si>
  <si>
    <t>Nov11005</t>
  </si>
  <si>
    <t>Nov11006</t>
  </si>
  <si>
    <t>Nov11007</t>
  </si>
  <si>
    <t>Nov11008</t>
  </si>
  <si>
    <t>Nov11009</t>
  </si>
  <si>
    <t>Nov11010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</si>
</sst>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&quot;$&quot;#,##0.00"/>
  </numFmts>
  <fonts count="8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1" xfId="0" applyFont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166" fontId="6" fillId="0" borderId="0" xfId="2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right"/>
    </xf>
    <xf numFmtId="0" fontId="6" fillId="0" borderId="0" xfId="2" applyNumberFormat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/>
    <xf numFmtId="166" fontId="5" fillId="0" borderId="0" xfId="2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NumberFormat="1" applyFont="1" applyBorder="1" applyAlignment="1">
      <alignment horizontal="center"/>
    </xf>
    <xf numFmtId="166" fontId="5" fillId="0" borderId="0" xfId="2" quotePrefix="1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166" fontId="4" fillId="0" borderId="0" xfId="0" applyNumberFormat="1" applyFont="1"/>
    <xf numFmtId="166" fontId="5" fillId="0" borderId="0" xfId="0" applyNumberFormat="1" applyFont="1"/>
    <xf numFmtId="166" fontId="5" fillId="0" borderId="1" xfId="0" applyNumberFormat="1" applyFont="1" applyBorder="1"/>
    <xf numFmtId="0" fontId="5" fillId="0" borderId="0" xfId="0" applyNumberFormat="1" applyFont="1"/>
    <xf numFmtId="166" fontId="5" fillId="0" borderId="0" xfId="0" applyNumberFormat="1" applyFont="1" applyBorder="1"/>
    <xf numFmtId="0" fontId="5" fillId="2" borderId="0" xfId="0" applyFont="1" applyFill="1"/>
    <xf numFmtId="166" fontId="5" fillId="2" borderId="0" xfId="0" applyNumberFormat="1" applyFont="1" applyFill="1"/>
    <xf numFmtId="0" fontId="4" fillId="0" borderId="0" xfId="0" applyFont="1" applyAlignment="1">
      <alignment horizontal="right"/>
    </xf>
    <xf numFmtId="166" fontId="5" fillId="0" borderId="0" xfId="0" applyNumberFormat="1" applyFont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2" fontId="5" fillId="0" borderId="0" xfId="0" applyNumberFormat="1" applyFont="1"/>
    <xf numFmtId="0" fontId="7" fillId="0" borderId="3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/>
  </cellXfs>
  <cellStyles count="7">
    <cellStyle name="Comma" xfId="1" builtinId="3"/>
    <cellStyle name="Currency" xfId="2" builtinId="4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97"/>
  <sheetViews>
    <sheetView tabSelected="1" workbookViewId="0">
      <selection activeCell="G108" sqref="G108"/>
    </sheetView>
  </sheetViews>
  <sheetFormatPr defaultColWidth="8.85546875" defaultRowHeight="15" x14ac:dyDescent="0.2"/>
  <cols>
    <col min="1" max="1" width="23" style="2" bestFit="1" customWidth="1"/>
    <col min="2" max="2" width="10.42578125" style="2" bestFit="1" customWidth="1"/>
    <col min="3" max="3" width="9" style="2" bestFit="1" customWidth="1"/>
    <col min="4" max="4" width="19" style="2" bestFit="1" customWidth="1"/>
    <col min="5" max="5" width="10.140625" style="2" bestFit="1" customWidth="1"/>
    <col min="6" max="6" width="9.140625" style="2" bestFit="1" customWidth="1"/>
    <col min="7" max="7" width="14.85546875" style="2" bestFit="1" customWidth="1"/>
    <col min="8" max="8" width="20" style="2" bestFit="1" customWidth="1"/>
    <col min="9" max="9" width="11.42578125" style="2" bestFit="1" customWidth="1"/>
    <col min="10" max="10" width="12.42578125" style="2" bestFit="1" customWidth="1"/>
    <col min="11" max="16384" width="8.85546875" style="2"/>
  </cols>
  <sheetData>
    <row r="1" spans="1:10" ht="15.75" x14ac:dyDescent="0.25">
      <c r="A1" s="1" t="s">
        <v>29</v>
      </c>
    </row>
    <row r="3" spans="1:10" ht="16.5" thickBot="1" x14ac:dyDescent="0.3">
      <c r="A3" s="3" t="s">
        <v>30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0</v>
      </c>
      <c r="G3" s="3" t="s">
        <v>26</v>
      </c>
      <c r="H3" s="3" t="s">
        <v>31</v>
      </c>
      <c r="I3" s="3" t="s">
        <v>28</v>
      </c>
      <c r="J3" s="3" t="s">
        <v>27</v>
      </c>
    </row>
    <row r="4" spans="1:10" ht="15.75" hidden="1" thickTop="1" x14ac:dyDescent="0.2">
      <c r="A4" s="4" t="s">
        <v>7</v>
      </c>
      <c r="B4" s="2" t="s">
        <v>152</v>
      </c>
      <c r="C4" s="5">
        <v>1122</v>
      </c>
      <c r="D4" s="4" t="s">
        <v>4</v>
      </c>
      <c r="E4" s="6">
        <v>4.25</v>
      </c>
      <c r="F4" s="7">
        <v>19500</v>
      </c>
      <c r="G4" s="6">
        <f t="shared" ref="G4:G35" si="0">E4*F4</f>
        <v>82875</v>
      </c>
      <c r="H4" s="8">
        <v>30</v>
      </c>
      <c r="I4" s="9">
        <v>40760</v>
      </c>
      <c r="J4" s="9">
        <v>40768</v>
      </c>
    </row>
    <row r="5" spans="1:10" ht="15.75" hidden="1" thickTop="1" x14ac:dyDescent="0.2">
      <c r="A5" s="10" t="s">
        <v>8</v>
      </c>
      <c r="B5" s="2" t="s">
        <v>153</v>
      </c>
      <c r="C5" s="5">
        <v>1243</v>
      </c>
      <c r="D5" s="4" t="s">
        <v>4</v>
      </c>
      <c r="E5" s="11">
        <v>4.25</v>
      </c>
      <c r="F5" s="12">
        <v>10000</v>
      </c>
      <c r="G5" s="6">
        <f t="shared" si="0"/>
        <v>42500</v>
      </c>
      <c r="H5" s="8">
        <v>30</v>
      </c>
      <c r="I5" s="13">
        <v>40763</v>
      </c>
      <c r="J5" s="13">
        <v>40769</v>
      </c>
    </row>
    <row r="6" spans="1:10" ht="15.75" hidden="1" thickTop="1" x14ac:dyDescent="0.2">
      <c r="A6" s="10" t="s">
        <v>3</v>
      </c>
      <c r="B6" s="2" t="s">
        <v>154</v>
      </c>
      <c r="C6" s="14">
        <v>5462</v>
      </c>
      <c r="D6" s="10" t="s">
        <v>20</v>
      </c>
      <c r="E6" s="11">
        <v>1.05</v>
      </c>
      <c r="F6" s="12">
        <v>23000</v>
      </c>
      <c r="G6" s="11">
        <f t="shared" si="0"/>
        <v>24150</v>
      </c>
      <c r="H6" s="8">
        <v>30</v>
      </c>
      <c r="I6" s="13">
        <v>40765</v>
      </c>
      <c r="J6" s="13">
        <v>40770</v>
      </c>
    </row>
    <row r="7" spans="1:10" ht="15.75" hidden="1" thickTop="1" x14ac:dyDescent="0.2">
      <c r="A7" s="10" t="s">
        <v>3</v>
      </c>
      <c r="B7" s="2" t="s">
        <v>155</v>
      </c>
      <c r="C7" s="14">
        <v>5462</v>
      </c>
      <c r="D7" s="10" t="s">
        <v>20</v>
      </c>
      <c r="E7" s="11">
        <v>1.05</v>
      </c>
      <c r="F7" s="12">
        <v>21500</v>
      </c>
      <c r="G7" s="11">
        <f t="shared" si="0"/>
        <v>22575</v>
      </c>
      <c r="H7" s="8">
        <v>30</v>
      </c>
      <c r="I7" s="13">
        <v>40770</v>
      </c>
      <c r="J7" s="13">
        <v>40777</v>
      </c>
    </row>
    <row r="8" spans="1:10" ht="15.75" hidden="1" thickTop="1" x14ac:dyDescent="0.2">
      <c r="A8" s="10" t="s">
        <v>9</v>
      </c>
      <c r="B8" s="2" t="s">
        <v>156</v>
      </c>
      <c r="C8" s="14">
        <v>5319</v>
      </c>
      <c r="D8" s="10" t="s">
        <v>20</v>
      </c>
      <c r="E8" s="11">
        <v>1.1000000000000001</v>
      </c>
      <c r="F8" s="12">
        <v>17500</v>
      </c>
      <c r="G8" s="11">
        <f t="shared" si="0"/>
        <v>19250</v>
      </c>
      <c r="H8" s="8">
        <v>30</v>
      </c>
      <c r="I8" s="13">
        <v>40775</v>
      </c>
      <c r="J8" s="13">
        <v>40786</v>
      </c>
    </row>
    <row r="9" spans="1:10" ht="15.75" hidden="1" thickTop="1" x14ac:dyDescent="0.2">
      <c r="A9" s="10" t="s">
        <v>3</v>
      </c>
      <c r="B9" s="2" t="s">
        <v>157</v>
      </c>
      <c r="C9" s="14">
        <v>5462</v>
      </c>
      <c r="D9" s="10" t="s">
        <v>20</v>
      </c>
      <c r="E9" s="11">
        <v>1.05</v>
      </c>
      <c r="F9" s="12">
        <v>22500</v>
      </c>
      <c r="G9" s="11">
        <f t="shared" si="0"/>
        <v>23625</v>
      </c>
      <c r="H9" s="8">
        <v>30</v>
      </c>
      <c r="I9" s="13">
        <v>40775</v>
      </c>
      <c r="J9" s="13">
        <v>40781</v>
      </c>
    </row>
    <row r="10" spans="1:10" ht="15.75" hidden="1" thickTop="1" x14ac:dyDescent="0.2">
      <c r="A10" s="10" t="s">
        <v>9</v>
      </c>
      <c r="B10" s="2" t="s">
        <v>158</v>
      </c>
      <c r="C10" s="5">
        <v>4312</v>
      </c>
      <c r="D10" s="4" t="s">
        <v>5</v>
      </c>
      <c r="E10" s="11">
        <v>3.75</v>
      </c>
      <c r="F10" s="12">
        <v>4250</v>
      </c>
      <c r="G10" s="11">
        <f t="shared" si="0"/>
        <v>15937.5</v>
      </c>
      <c r="H10" s="8">
        <v>30</v>
      </c>
      <c r="I10" s="13">
        <v>40780</v>
      </c>
      <c r="J10" s="13">
        <v>40787</v>
      </c>
    </row>
    <row r="11" spans="1:10" ht="15.75" hidden="1" thickTop="1" x14ac:dyDescent="0.2">
      <c r="A11" s="15" t="s">
        <v>2</v>
      </c>
      <c r="B11" s="2" t="s">
        <v>159</v>
      </c>
      <c r="C11" s="14">
        <v>7258</v>
      </c>
      <c r="D11" s="10" t="s">
        <v>19</v>
      </c>
      <c r="E11" s="11">
        <v>90</v>
      </c>
      <c r="F11" s="12">
        <v>100</v>
      </c>
      <c r="G11" s="11">
        <f t="shared" si="0"/>
        <v>9000</v>
      </c>
      <c r="H11" s="16">
        <v>45</v>
      </c>
      <c r="I11" s="13">
        <v>40780</v>
      </c>
      <c r="J11" s="13">
        <v>40783</v>
      </c>
    </row>
    <row r="12" spans="1:10" ht="15.75" hidden="1" thickTop="1" x14ac:dyDescent="0.2">
      <c r="A12" s="4" t="s">
        <v>3</v>
      </c>
      <c r="B12" s="2" t="s">
        <v>160</v>
      </c>
      <c r="C12" s="5">
        <v>6321</v>
      </c>
      <c r="D12" s="4" t="s">
        <v>21</v>
      </c>
      <c r="E12" s="6">
        <v>2.4500000000000002</v>
      </c>
      <c r="F12" s="7">
        <v>1300</v>
      </c>
      <c r="G12" s="6">
        <f t="shared" si="0"/>
        <v>3185.0000000000005</v>
      </c>
      <c r="H12" s="8">
        <v>30</v>
      </c>
      <c r="I12" s="9">
        <v>40780</v>
      </c>
      <c r="J12" s="9">
        <v>40790</v>
      </c>
    </row>
    <row r="13" spans="1:10" ht="15.75" hidden="1" thickTop="1" x14ac:dyDescent="0.2">
      <c r="A13" s="10" t="s">
        <v>3</v>
      </c>
      <c r="B13" s="2" t="s">
        <v>161</v>
      </c>
      <c r="C13" s="14">
        <v>5462</v>
      </c>
      <c r="D13" s="10" t="s">
        <v>20</v>
      </c>
      <c r="E13" s="11">
        <v>1.05</v>
      </c>
      <c r="F13" s="12">
        <v>22500</v>
      </c>
      <c r="G13" s="11">
        <f t="shared" si="0"/>
        <v>23625</v>
      </c>
      <c r="H13" s="8">
        <v>30</v>
      </c>
      <c r="I13" s="13">
        <v>40780</v>
      </c>
      <c r="J13" s="13">
        <v>40788</v>
      </c>
    </row>
    <row r="14" spans="1:10" ht="15.75" hidden="1" thickTop="1" x14ac:dyDescent="0.2">
      <c r="A14" s="10" t="s">
        <v>9</v>
      </c>
      <c r="B14" s="2" t="s">
        <v>162</v>
      </c>
      <c r="C14" s="14">
        <v>5319</v>
      </c>
      <c r="D14" s="10" t="s">
        <v>20</v>
      </c>
      <c r="E14" s="11">
        <v>1.1000000000000001</v>
      </c>
      <c r="F14" s="12">
        <v>18100</v>
      </c>
      <c r="G14" s="11">
        <f t="shared" si="0"/>
        <v>19910</v>
      </c>
      <c r="H14" s="8">
        <v>30</v>
      </c>
      <c r="I14" s="13">
        <v>40780</v>
      </c>
      <c r="J14" s="13">
        <v>40791</v>
      </c>
    </row>
    <row r="15" spans="1:10" ht="15.75" hidden="1" thickTop="1" x14ac:dyDescent="0.2">
      <c r="A15" s="10" t="s">
        <v>7</v>
      </c>
      <c r="B15" s="2" t="s">
        <v>163</v>
      </c>
      <c r="C15" s="14">
        <v>3166</v>
      </c>
      <c r="D15" s="10" t="s">
        <v>14</v>
      </c>
      <c r="E15" s="11">
        <v>1.25</v>
      </c>
      <c r="F15" s="12">
        <v>5600</v>
      </c>
      <c r="G15" s="11">
        <f t="shared" si="0"/>
        <v>7000</v>
      </c>
      <c r="H15" s="8">
        <v>30</v>
      </c>
      <c r="I15" s="13">
        <v>40780</v>
      </c>
      <c r="J15" s="13">
        <v>40784</v>
      </c>
    </row>
    <row r="16" spans="1:10" ht="15.75" hidden="1" thickTop="1" x14ac:dyDescent="0.2">
      <c r="A16" s="10" t="s">
        <v>7</v>
      </c>
      <c r="B16" s="2" t="s">
        <v>164</v>
      </c>
      <c r="C16" s="14">
        <v>9966</v>
      </c>
      <c r="D16" s="10" t="s">
        <v>16</v>
      </c>
      <c r="E16" s="11">
        <v>0.75</v>
      </c>
      <c r="F16" s="12">
        <v>500</v>
      </c>
      <c r="G16" s="11">
        <f t="shared" si="0"/>
        <v>375</v>
      </c>
      <c r="H16" s="8">
        <v>30</v>
      </c>
      <c r="I16" s="13">
        <v>40780</v>
      </c>
      <c r="J16" s="13">
        <v>40786</v>
      </c>
    </row>
    <row r="17" spans="1:10" ht="15.75" hidden="1" thickTop="1" x14ac:dyDescent="0.2">
      <c r="A17" s="10" t="s">
        <v>9</v>
      </c>
      <c r="B17" s="2" t="s">
        <v>165</v>
      </c>
      <c r="C17" s="14">
        <v>5234</v>
      </c>
      <c r="D17" s="10" t="s">
        <v>14</v>
      </c>
      <c r="E17" s="11">
        <v>1.65</v>
      </c>
      <c r="F17" s="12">
        <v>4500</v>
      </c>
      <c r="G17" s="11">
        <f t="shared" si="0"/>
        <v>7425</v>
      </c>
      <c r="H17" s="8">
        <v>30</v>
      </c>
      <c r="I17" s="13">
        <v>40783</v>
      </c>
      <c r="J17" s="13">
        <v>40791</v>
      </c>
    </row>
    <row r="18" spans="1:10" ht="15.75" hidden="1" thickTop="1" x14ac:dyDescent="0.2">
      <c r="A18" s="10" t="s">
        <v>9</v>
      </c>
      <c r="B18" s="2" t="s">
        <v>166</v>
      </c>
      <c r="C18" s="5">
        <v>4312</v>
      </c>
      <c r="D18" s="4" t="s">
        <v>5</v>
      </c>
      <c r="E18" s="11">
        <v>3.75</v>
      </c>
      <c r="F18" s="12">
        <v>4200</v>
      </c>
      <c r="G18" s="11">
        <f t="shared" si="0"/>
        <v>15750</v>
      </c>
      <c r="H18" s="8">
        <v>30</v>
      </c>
      <c r="I18" s="13">
        <v>40787</v>
      </c>
      <c r="J18" s="13">
        <v>40796</v>
      </c>
    </row>
    <row r="19" spans="1:10" ht="15.75" thickTop="1" x14ac:dyDescent="0.2">
      <c r="A19" s="10" t="s">
        <v>8</v>
      </c>
      <c r="B19" s="2" t="s">
        <v>167</v>
      </c>
      <c r="C19" s="14">
        <v>5417</v>
      </c>
      <c r="D19" s="10" t="s">
        <v>12</v>
      </c>
      <c r="E19" s="11">
        <v>255</v>
      </c>
      <c r="F19" s="12">
        <v>406</v>
      </c>
      <c r="G19" s="11">
        <f>E19*F19</f>
        <v>103530</v>
      </c>
      <c r="H19" s="8">
        <v>30</v>
      </c>
      <c r="I19" s="13">
        <v>40787</v>
      </c>
      <c r="J19" s="13">
        <v>40796</v>
      </c>
    </row>
    <row r="20" spans="1:10" hidden="1" x14ac:dyDescent="0.2">
      <c r="A20" s="10" t="s">
        <v>7</v>
      </c>
      <c r="B20" s="2" t="s">
        <v>168</v>
      </c>
      <c r="C20" s="14">
        <v>3166</v>
      </c>
      <c r="D20" s="10" t="s">
        <v>14</v>
      </c>
      <c r="E20" s="11">
        <v>1.25</v>
      </c>
      <c r="F20" s="12">
        <v>5500</v>
      </c>
      <c r="G20" s="11">
        <f t="shared" si="0"/>
        <v>6875</v>
      </c>
      <c r="H20" s="8">
        <v>30</v>
      </c>
      <c r="I20" s="13">
        <v>40787</v>
      </c>
      <c r="J20" s="13">
        <v>40792</v>
      </c>
    </row>
    <row r="21" spans="1:10" hidden="1" x14ac:dyDescent="0.2">
      <c r="A21" s="10" t="s">
        <v>9</v>
      </c>
      <c r="B21" s="2" t="s">
        <v>169</v>
      </c>
      <c r="C21" s="14">
        <v>5234</v>
      </c>
      <c r="D21" s="10" t="s">
        <v>14</v>
      </c>
      <c r="E21" s="11">
        <v>1.65</v>
      </c>
      <c r="F21" s="12">
        <v>4850</v>
      </c>
      <c r="G21" s="11">
        <f t="shared" si="0"/>
        <v>8002.5</v>
      </c>
      <c r="H21" s="8">
        <v>30</v>
      </c>
      <c r="I21" s="13">
        <v>40788</v>
      </c>
      <c r="J21" s="13">
        <v>40797</v>
      </c>
    </row>
    <row r="22" spans="1:10" hidden="1" x14ac:dyDescent="0.2">
      <c r="A22" s="10" t="s">
        <v>9</v>
      </c>
      <c r="B22" s="2" t="s">
        <v>170</v>
      </c>
      <c r="C22" s="5">
        <v>4312</v>
      </c>
      <c r="D22" s="4" t="s">
        <v>5</v>
      </c>
      <c r="E22" s="11">
        <v>3.75</v>
      </c>
      <c r="F22" s="12">
        <v>4150</v>
      </c>
      <c r="G22" s="11">
        <f t="shared" si="0"/>
        <v>15562.5</v>
      </c>
      <c r="H22" s="8">
        <v>30</v>
      </c>
      <c r="I22" s="13">
        <v>40789</v>
      </c>
      <c r="J22" s="13">
        <v>40797</v>
      </c>
    </row>
    <row r="23" spans="1:10" hidden="1" x14ac:dyDescent="0.2">
      <c r="A23" s="4" t="s">
        <v>7</v>
      </c>
      <c r="B23" s="2" t="s">
        <v>171</v>
      </c>
      <c r="C23" s="5">
        <v>1122</v>
      </c>
      <c r="D23" s="4" t="s">
        <v>4</v>
      </c>
      <c r="E23" s="6">
        <v>4.25</v>
      </c>
      <c r="F23" s="7">
        <v>15500</v>
      </c>
      <c r="G23" s="6">
        <f t="shared" si="0"/>
        <v>65875</v>
      </c>
      <c r="H23" s="8">
        <v>30</v>
      </c>
      <c r="I23" s="9">
        <v>40790</v>
      </c>
      <c r="J23" s="9">
        <v>40798</v>
      </c>
    </row>
    <row r="24" spans="1:10" hidden="1" x14ac:dyDescent="0.2">
      <c r="A24" s="4" t="s">
        <v>1</v>
      </c>
      <c r="B24" s="2" t="s">
        <v>172</v>
      </c>
      <c r="C24" s="5">
        <v>4111</v>
      </c>
      <c r="D24" s="4" t="s">
        <v>5</v>
      </c>
      <c r="E24" s="6">
        <v>3.55</v>
      </c>
      <c r="F24" s="7">
        <v>4800</v>
      </c>
      <c r="G24" s="6">
        <f t="shared" si="0"/>
        <v>17040</v>
      </c>
      <c r="H24" s="8">
        <v>25</v>
      </c>
      <c r="I24" s="9">
        <v>40791</v>
      </c>
      <c r="J24" s="9">
        <v>40806</v>
      </c>
    </row>
    <row r="25" spans="1:10" hidden="1" x14ac:dyDescent="0.2">
      <c r="A25" s="10" t="s">
        <v>8</v>
      </c>
      <c r="B25" s="2" t="s">
        <v>173</v>
      </c>
      <c r="C25" s="5">
        <v>1243</v>
      </c>
      <c r="D25" s="4" t="s">
        <v>4</v>
      </c>
      <c r="E25" s="11">
        <v>4.25</v>
      </c>
      <c r="F25" s="12">
        <v>9000</v>
      </c>
      <c r="G25" s="6">
        <f t="shared" si="0"/>
        <v>38250</v>
      </c>
      <c r="H25" s="8">
        <v>30</v>
      </c>
      <c r="I25" s="13">
        <v>40791</v>
      </c>
      <c r="J25" s="13">
        <v>40798</v>
      </c>
    </row>
    <row r="26" spans="1:10" hidden="1" x14ac:dyDescent="0.2">
      <c r="A26" s="15" t="s">
        <v>2</v>
      </c>
      <c r="B26" s="2" t="s">
        <v>174</v>
      </c>
      <c r="C26" s="14">
        <v>7258</v>
      </c>
      <c r="D26" s="10" t="s">
        <v>19</v>
      </c>
      <c r="E26" s="11">
        <v>90</v>
      </c>
      <c r="F26" s="12">
        <v>120</v>
      </c>
      <c r="G26" s="11">
        <f t="shared" si="0"/>
        <v>10800</v>
      </c>
      <c r="H26" s="16">
        <v>45</v>
      </c>
      <c r="I26" s="13">
        <v>40791</v>
      </c>
      <c r="J26" s="13">
        <v>40795</v>
      </c>
    </row>
    <row r="27" spans="1:10" hidden="1" x14ac:dyDescent="0.2">
      <c r="A27" s="10" t="s">
        <v>9</v>
      </c>
      <c r="B27" s="2" t="s">
        <v>175</v>
      </c>
      <c r="C27" s="14">
        <v>5234</v>
      </c>
      <c r="D27" s="10" t="s">
        <v>14</v>
      </c>
      <c r="E27" s="11">
        <v>1.65</v>
      </c>
      <c r="F27" s="12">
        <v>4750</v>
      </c>
      <c r="G27" s="11">
        <f t="shared" si="0"/>
        <v>7837.5</v>
      </c>
      <c r="H27" s="8">
        <v>30</v>
      </c>
      <c r="I27" s="13">
        <v>40791</v>
      </c>
      <c r="J27" s="13">
        <v>40799</v>
      </c>
    </row>
    <row r="28" spans="1:10" hidden="1" x14ac:dyDescent="0.2">
      <c r="A28" s="4" t="s">
        <v>7</v>
      </c>
      <c r="B28" s="2" t="s">
        <v>176</v>
      </c>
      <c r="C28" s="5">
        <v>1122</v>
      </c>
      <c r="D28" s="4" t="s">
        <v>4</v>
      </c>
      <c r="E28" s="6">
        <v>4.25</v>
      </c>
      <c r="F28" s="7">
        <v>12500</v>
      </c>
      <c r="G28" s="6">
        <f t="shared" si="0"/>
        <v>53125</v>
      </c>
      <c r="H28" s="8">
        <v>30</v>
      </c>
      <c r="I28" s="9">
        <v>40791</v>
      </c>
      <c r="J28" s="9">
        <v>40797</v>
      </c>
    </row>
    <row r="29" spans="1:10" hidden="1" x14ac:dyDescent="0.2">
      <c r="A29" s="10" t="s">
        <v>7</v>
      </c>
      <c r="B29" s="2" t="s">
        <v>177</v>
      </c>
      <c r="C29" s="14">
        <v>5066</v>
      </c>
      <c r="D29" s="10" t="s">
        <v>20</v>
      </c>
      <c r="E29" s="11">
        <v>0.95</v>
      </c>
      <c r="F29" s="12">
        <v>25000</v>
      </c>
      <c r="G29" s="11">
        <f t="shared" si="0"/>
        <v>23750</v>
      </c>
      <c r="H29" s="8">
        <v>30</v>
      </c>
      <c r="I29" s="13">
        <v>40791</v>
      </c>
      <c r="J29" s="13">
        <v>40798</v>
      </c>
    </row>
    <row r="30" spans="1:10" hidden="1" x14ac:dyDescent="0.2">
      <c r="A30" s="10" t="s">
        <v>7</v>
      </c>
      <c r="B30" s="2" t="s">
        <v>178</v>
      </c>
      <c r="C30" s="14">
        <v>3166</v>
      </c>
      <c r="D30" s="10" t="s">
        <v>14</v>
      </c>
      <c r="E30" s="11">
        <v>1.25</v>
      </c>
      <c r="F30" s="12">
        <v>5650</v>
      </c>
      <c r="G30" s="11">
        <f t="shared" si="0"/>
        <v>7062.5</v>
      </c>
      <c r="H30" s="8">
        <v>30</v>
      </c>
      <c r="I30" s="13">
        <v>40791</v>
      </c>
      <c r="J30" s="13">
        <v>40796</v>
      </c>
    </row>
    <row r="31" spans="1:10" hidden="1" x14ac:dyDescent="0.2">
      <c r="A31" s="4" t="s">
        <v>7</v>
      </c>
      <c r="B31" s="2" t="s">
        <v>179</v>
      </c>
      <c r="C31" s="5">
        <v>1122</v>
      </c>
      <c r="D31" s="4" t="s">
        <v>4</v>
      </c>
      <c r="E31" s="6">
        <v>4.25</v>
      </c>
      <c r="F31" s="7">
        <v>15000</v>
      </c>
      <c r="G31" s="6">
        <f t="shared" si="0"/>
        <v>63750</v>
      </c>
      <c r="H31" s="8">
        <v>30</v>
      </c>
      <c r="I31" s="9">
        <v>40794</v>
      </c>
      <c r="J31" s="9">
        <v>40801</v>
      </c>
    </row>
    <row r="32" spans="1:10" hidden="1" x14ac:dyDescent="0.2">
      <c r="A32" s="4" t="s">
        <v>1</v>
      </c>
      <c r="B32" s="2" t="s">
        <v>180</v>
      </c>
      <c r="C32" s="5">
        <v>4111</v>
      </c>
      <c r="D32" s="4" t="s">
        <v>5</v>
      </c>
      <c r="E32" s="6">
        <v>3.55</v>
      </c>
      <c r="F32" s="7">
        <v>4585</v>
      </c>
      <c r="G32" s="6">
        <f t="shared" si="0"/>
        <v>16276.75</v>
      </c>
      <c r="H32" s="8">
        <v>25</v>
      </c>
      <c r="I32" s="9">
        <v>40796</v>
      </c>
      <c r="J32" s="9">
        <v>40816</v>
      </c>
    </row>
    <row r="33" spans="1:10" hidden="1" x14ac:dyDescent="0.2">
      <c r="A33" s="10" t="s">
        <v>7</v>
      </c>
      <c r="B33" s="2" t="s">
        <v>181</v>
      </c>
      <c r="C33" s="14">
        <v>3166</v>
      </c>
      <c r="D33" s="10" t="s">
        <v>14</v>
      </c>
      <c r="E33" s="11">
        <v>1.25</v>
      </c>
      <c r="F33" s="12">
        <v>5425</v>
      </c>
      <c r="G33" s="11">
        <f t="shared" si="0"/>
        <v>6781.25</v>
      </c>
      <c r="H33" s="8">
        <v>30</v>
      </c>
      <c r="I33" s="13">
        <v>40796</v>
      </c>
      <c r="J33" s="13">
        <v>40801</v>
      </c>
    </row>
    <row r="34" spans="1:10" hidden="1" x14ac:dyDescent="0.2">
      <c r="A34" s="4" t="s">
        <v>3</v>
      </c>
      <c r="B34" s="2" t="s">
        <v>182</v>
      </c>
      <c r="C34" s="5">
        <v>6321</v>
      </c>
      <c r="D34" s="4" t="s">
        <v>21</v>
      </c>
      <c r="E34" s="6">
        <v>2.4500000000000002</v>
      </c>
      <c r="F34" s="7">
        <v>1200</v>
      </c>
      <c r="G34" s="6">
        <f t="shared" si="0"/>
        <v>2940</v>
      </c>
      <c r="H34" s="8">
        <v>30</v>
      </c>
      <c r="I34" s="9">
        <v>40798</v>
      </c>
      <c r="J34" s="9">
        <v>40809</v>
      </c>
    </row>
    <row r="35" spans="1:10" hidden="1" x14ac:dyDescent="0.2">
      <c r="A35" s="10" t="s">
        <v>9</v>
      </c>
      <c r="B35" s="2" t="s">
        <v>199</v>
      </c>
      <c r="C35" s="14">
        <v>5319</v>
      </c>
      <c r="D35" s="10" t="s">
        <v>20</v>
      </c>
      <c r="E35" s="11">
        <v>1.1000000000000001</v>
      </c>
      <c r="F35" s="12">
        <v>16500</v>
      </c>
      <c r="G35" s="11">
        <f t="shared" si="0"/>
        <v>18150</v>
      </c>
      <c r="H35" s="8">
        <v>30</v>
      </c>
      <c r="I35" s="13">
        <v>40801</v>
      </c>
      <c r="J35" s="13">
        <v>40821</v>
      </c>
    </row>
    <row r="36" spans="1:10" hidden="1" x14ac:dyDescent="0.2">
      <c r="A36" s="4" t="s">
        <v>1</v>
      </c>
      <c r="B36" s="2" t="s">
        <v>200</v>
      </c>
      <c r="C36" s="5">
        <v>4111</v>
      </c>
      <c r="D36" s="4" t="s">
        <v>5</v>
      </c>
      <c r="E36" s="6">
        <v>3.55</v>
      </c>
      <c r="F36" s="7">
        <v>4200</v>
      </c>
      <c r="G36" s="6">
        <f t="shared" ref="G36:G67" si="1">E36*F36</f>
        <v>14910</v>
      </c>
      <c r="H36" s="8">
        <v>25</v>
      </c>
      <c r="I36" s="9">
        <v>40801</v>
      </c>
      <c r="J36" s="9">
        <v>40831</v>
      </c>
    </row>
    <row r="37" spans="1:10" hidden="1" x14ac:dyDescent="0.2">
      <c r="A37" s="10" t="s">
        <v>7</v>
      </c>
      <c r="B37" s="2" t="s">
        <v>201</v>
      </c>
      <c r="C37" s="14">
        <v>5066</v>
      </c>
      <c r="D37" s="10" t="s">
        <v>20</v>
      </c>
      <c r="E37" s="11">
        <v>0.95</v>
      </c>
      <c r="F37" s="12">
        <v>17500</v>
      </c>
      <c r="G37" s="11">
        <f t="shared" si="1"/>
        <v>16625</v>
      </c>
      <c r="H37" s="8">
        <v>30</v>
      </c>
      <c r="I37" s="13">
        <v>40801</v>
      </c>
      <c r="J37" s="13">
        <v>40808</v>
      </c>
    </row>
    <row r="38" spans="1:10" hidden="1" x14ac:dyDescent="0.2">
      <c r="A38" s="10" t="s">
        <v>1</v>
      </c>
      <c r="B38" s="2" t="s">
        <v>202</v>
      </c>
      <c r="C38" s="5">
        <v>9752</v>
      </c>
      <c r="D38" s="4" t="s">
        <v>6</v>
      </c>
      <c r="E38" s="11">
        <v>4.05</v>
      </c>
      <c r="F38" s="12">
        <v>1500</v>
      </c>
      <c r="G38" s="11">
        <f t="shared" si="1"/>
        <v>6075</v>
      </c>
      <c r="H38" s="8">
        <v>25</v>
      </c>
      <c r="I38" s="13">
        <v>40806</v>
      </c>
      <c r="J38" s="13">
        <v>40811</v>
      </c>
    </row>
    <row r="39" spans="1:10" hidden="1" x14ac:dyDescent="0.2">
      <c r="A39" s="4" t="s">
        <v>1</v>
      </c>
      <c r="B39" s="2" t="s">
        <v>203</v>
      </c>
      <c r="C39" s="5">
        <v>4111</v>
      </c>
      <c r="D39" s="4" t="s">
        <v>5</v>
      </c>
      <c r="E39" s="6">
        <v>3.55</v>
      </c>
      <c r="F39" s="7">
        <v>4250</v>
      </c>
      <c r="G39" s="6">
        <f t="shared" si="1"/>
        <v>15087.5</v>
      </c>
      <c r="H39" s="8">
        <v>25</v>
      </c>
      <c r="I39" s="9">
        <v>40806</v>
      </c>
      <c r="J39" s="9">
        <v>40826</v>
      </c>
    </row>
    <row r="40" spans="1:10" hidden="1" x14ac:dyDescent="0.2">
      <c r="A40" s="10" t="s">
        <v>11</v>
      </c>
      <c r="B40" s="2" t="s">
        <v>204</v>
      </c>
      <c r="C40" s="5">
        <v>9764</v>
      </c>
      <c r="D40" s="4" t="s">
        <v>6</v>
      </c>
      <c r="E40" s="11">
        <v>3.75</v>
      </c>
      <c r="F40" s="12">
        <v>1980</v>
      </c>
      <c r="G40" s="11">
        <f t="shared" si="1"/>
        <v>7425</v>
      </c>
      <c r="H40" s="16">
        <v>15</v>
      </c>
      <c r="I40" s="13">
        <v>40806</v>
      </c>
      <c r="J40" s="13">
        <v>40815</v>
      </c>
    </row>
    <row r="41" spans="1:10" hidden="1" x14ac:dyDescent="0.2">
      <c r="A41" s="10" t="s">
        <v>11</v>
      </c>
      <c r="B41" s="2" t="s">
        <v>205</v>
      </c>
      <c r="C41" s="5">
        <v>9764</v>
      </c>
      <c r="D41" s="4" t="s">
        <v>6</v>
      </c>
      <c r="E41" s="11">
        <v>3.75</v>
      </c>
      <c r="F41" s="12">
        <v>1750</v>
      </c>
      <c r="G41" s="11">
        <f t="shared" si="1"/>
        <v>6562.5</v>
      </c>
      <c r="H41" s="16">
        <v>15</v>
      </c>
      <c r="I41" s="13">
        <v>40806</v>
      </c>
      <c r="J41" s="13">
        <v>40811</v>
      </c>
    </row>
    <row r="42" spans="1:10" hidden="1" x14ac:dyDescent="0.2">
      <c r="A42" s="10" t="s">
        <v>1</v>
      </c>
      <c r="B42" s="2" t="s">
        <v>206</v>
      </c>
      <c r="C42" s="5">
        <v>9752</v>
      </c>
      <c r="D42" s="4" t="s">
        <v>6</v>
      </c>
      <c r="E42" s="11">
        <v>4.05</v>
      </c>
      <c r="F42" s="12">
        <v>1550</v>
      </c>
      <c r="G42" s="11">
        <f t="shared" si="1"/>
        <v>6277.5</v>
      </c>
      <c r="H42" s="8">
        <v>25</v>
      </c>
      <c r="I42" s="13">
        <v>40811</v>
      </c>
      <c r="J42" s="13">
        <v>40821</v>
      </c>
    </row>
    <row r="43" spans="1:10" hidden="1" x14ac:dyDescent="0.2">
      <c r="A43" s="4" t="s">
        <v>1</v>
      </c>
      <c r="B43" s="2" t="s">
        <v>207</v>
      </c>
      <c r="C43" s="5">
        <v>4111</v>
      </c>
      <c r="D43" s="4" t="s">
        <v>5</v>
      </c>
      <c r="E43" s="6">
        <v>3.55</v>
      </c>
      <c r="F43" s="7">
        <v>4200</v>
      </c>
      <c r="G43" s="6">
        <f t="shared" si="1"/>
        <v>14910</v>
      </c>
      <c r="H43" s="8">
        <v>25</v>
      </c>
      <c r="I43" s="9">
        <v>40811</v>
      </c>
      <c r="J43" s="9">
        <v>40841</v>
      </c>
    </row>
    <row r="44" spans="1:10" hidden="1" x14ac:dyDescent="0.2">
      <c r="A44" s="15" t="s">
        <v>2</v>
      </c>
      <c r="B44" s="2" t="s">
        <v>208</v>
      </c>
      <c r="C44" s="5">
        <v>1369</v>
      </c>
      <c r="D44" s="4" t="s">
        <v>4</v>
      </c>
      <c r="E44" s="11">
        <v>4.2</v>
      </c>
      <c r="F44" s="12">
        <v>15000</v>
      </c>
      <c r="G44" s="6">
        <f t="shared" si="1"/>
        <v>63000</v>
      </c>
      <c r="H44" s="16">
        <v>45</v>
      </c>
      <c r="I44" s="13">
        <v>40811</v>
      </c>
      <c r="J44" s="13">
        <v>40816</v>
      </c>
    </row>
    <row r="45" spans="1:10" hidden="1" x14ac:dyDescent="0.2">
      <c r="A45" s="10" t="s">
        <v>10</v>
      </c>
      <c r="B45" s="2" t="s">
        <v>209</v>
      </c>
      <c r="C45" s="5">
        <v>6431</v>
      </c>
      <c r="D45" s="4" t="s">
        <v>21</v>
      </c>
      <c r="E45" s="11">
        <v>2.85</v>
      </c>
      <c r="F45" s="12">
        <v>1300</v>
      </c>
      <c r="G45" s="11">
        <f t="shared" si="1"/>
        <v>3705</v>
      </c>
      <c r="H45" s="8">
        <v>30</v>
      </c>
      <c r="I45" s="13">
        <v>40811</v>
      </c>
      <c r="J45" s="13">
        <v>40817</v>
      </c>
    </row>
    <row r="46" spans="1:10" hidden="1" x14ac:dyDescent="0.2">
      <c r="A46" s="4" t="s">
        <v>3</v>
      </c>
      <c r="B46" s="2" t="s">
        <v>210</v>
      </c>
      <c r="C46" s="5">
        <v>6321</v>
      </c>
      <c r="D46" s="4" t="s">
        <v>21</v>
      </c>
      <c r="E46" s="6">
        <v>2.4500000000000002</v>
      </c>
      <c r="F46" s="7">
        <v>2500</v>
      </c>
      <c r="G46" s="6">
        <f t="shared" si="1"/>
        <v>6125</v>
      </c>
      <c r="H46" s="8">
        <v>30</v>
      </c>
      <c r="I46" s="9">
        <v>40811</v>
      </c>
      <c r="J46" s="9">
        <v>40820</v>
      </c>
    </row>
    <row r="47" spans="1:10" hidden="1" x14ac:dyDescent="0.2">
      <c r="A47" s="10" t="s">
        <v>11</v>
      </c>
      <c r="B47" s="2" t="s">
        <v>211</v>
      </c>
      <c r="C47" s="5">
        <v>9764</v>
      </c>
      <c r="D47" s="4" t="s">
        <v>6</v>
      </c>
      <c r="E47" s="11">
        <v>3.75</v>
      </c>
      <c r="F47" s="12">
        <v>1850</v>
      </c>
      <c r="G47" s="11">
        <f t="shared" si="1"/>
        <v>6937.5</v>
      </c>
      <c r="H47" s="16">
        <v>15</v>
      </c>
      <c r="I47" s="13">
        <v>40811</v>
      </c>
      <c r="J47" s="13">
        <v>40821</v>
      </c>
    </row>
    <row r="48" spans="1:10" hidden="1" x14ac:dyDescent="0.2">
      <c r="A48" s="15" t="s">
        <v>2</v>
      </c>
      <c r="B48" s="2" t="s">
        <v>212</v>
      </c>
      <c r="C48" s="5">
        <v>1369</v>
      </c>
      <c r="D48" s="4" t="s">
        <v>4</v>
      </c>
      <c r="E48" s="11">
        <v>4.2</v>
      </c>
      <c r="F48" s="12">
        <v>14000</v>
      </c>
      <c r="G48" s="6">
        <f t="shared" si="1"/>
        <v>58800</v>
      </c>
      <c r="H48" s="16">
        <v>45</v>
      </c>
      <c r="I48" s="13">
        <v>40813</v>
      </c>
      <c r="J48" s="13">
        <v>40819</v>
      </c>
    </row>
    <row r="49" spans="1:10" hidden="1" x14ac:dyDescent="0.2">
      <c r="A49" s="4" t="s">
        <v>7</v>
      </c>
      <c r="B49" s="2" t="s">
        <v>213</v>
      </c>
      <c r="C49" s="5">
        <v>1122</v>
      </c>
      <c r="D49" s="4" t="s">
        <v>4</v>
      </c>
      <c r="E49" s="6">
        <v>4.25</v>
      </c>
      <c r="F49" s="7">
        <v>14500</v>
      </c>
      <c r="G49" s="6">
        <f t="shared" si="1"/>
        <v>61625</v>
      </c>
      <c r="H49" s="8">
        <v>30</v>
      </c>
      <c r="I49" s="9">
        <v>40814</v>
      </c>
      <c r="J49" s="9">
        <v>40819</v>
      </c>
    </row>
    <row r="50" spans="1:10" hidden="1" x14ac:dyDescent="0.2">
      <c r="A50" s="10" t="s">
        <v>11</v>
      </c>
      <c r="B50" s="2" t="s">
        <v>214</v>
      </c>
      <c r="C50" s="5">
        <v>9764</v>
      </c>
      <c r="D50" s="4" t="s">
        <v>6</v>
      </c>
      <c r="E50" s="11">
        <v>3.75</v>
      </c>
      <c r="F50" s="12">
        <v>1800</v>
      </c>
      <c r="G50" s="11">
        <f t="shared" si="1"/>
        <v>6750</v>
      </c>
      <c r="H50" s="16">
        <v>15</v>
      </c>
      <c r="I50" s="13">
        <v>40814</v>
      </c>
      <c r="J50" s="13">
        <v>40821</v>
      </c>
    </row>
    <row r="51" spans="1:10" hidden="1" x14ac:dyDescent="0.2">
      <c r="A51" s="15" t="s">
        <v>2</v>
      </c>
      <c r="B51" s="2" t="s">
        <v>215</v>
      </c>
      <c r="C51" s="5">
        <v>1369</v>
      </c>
      <c r="D51" s="4" t="s">
        <v>4</v>
      </c>
      <c r="E51" s="11">
        <v>4.2</v>
      </c>
      <c r="F51" s="12">
        <v>10000</v>
      </c>
      <c r="G51" s="6">
        <f t="shared" si="1"/>
        <v>42000</v>
      </c>
      <c r="H51" s="16">
        <v>45</v>
      </c>
      <c r="I51" s="13">
        <v>40815</v>
      </c>
      <c r="J51" s="13">
        <v>40820</v>
      </c>
    </row>
    <row r="52" spans="1:10" hidden="1" x14ac:dyDescent="0.2">
      <c r="A52" s="10" t="s">
        <v>1</v>
      </c>
      <c r="B52" s="2" t="s">
        <v>183</v>
      </c>
      <c r="C52" s="14">
        <v>5125</v>
      </c>
      <c r="D52" s="10" t="s">
        <v>20</v>
      </c>
      <c r="E52" s="11">
        <v>1.1499999999999999</v>
      </c>
      <c r="F52" s="12">
        <v>15000</v>
      </c>
      <c r="G52" s="11">
        <f t="shared" si="1"/>
        <v>17250</v>
      </c>
      <c r="H52" s="8">
        <v>25</v>
      </c>
      <c r="I52" s="13">
        <v>40817</v>
      </c>
      <c r="J52" s="13">
        <v>40831</v>
      </c>
    </row>
    <row r="53" spans="1:10" hidden="1" x14ac:dyDescent="0.2">
      <c r="A53" s="4" t="s">
        <v>2</v>
      </c>
      <c r="B53" s="2" t="s">
        <v>184</v>
      </c>
      <c r="C53" s="5">
        <v>9399</v>
      </c>
      <c r="D53" s="4" t="s">
        <v>6</v>
      </c>
      <c r="E53" s="6">
        <v>3.65</v>
      </c>
      <c r="F53" s="7">
        <v>1250</v>
      </c>
      <c r="G53" s="6">
        <f t="shared" si="1"/>
        <v>4562.5</v>
      </c>
      <c r="H53" s="16">
        <v>45</v>
      </c>
      <c r="I53" s="9">
        <v>40817</v>
      </c>
      <c r="J53" s="9">
        <v>40822</v>
      </c>
    </row>
    <row r="54" spans="1:10" hidden="1" x14ac:dyDescent="0.2">
      <c r="A54" s="10" t="s">
        <v>10</v>
      </c>
      <c r="B54" s="2" t="s">
        <v>185</v>
      </c>
      <c r="C54" s="5">
        <v>6431</v>
      </c>
      <c r="D54" s="4" t="s">
        <v>21</v>
      </c>
      <c r="E54" s="11">
        <v>2.85</v>
      </c>
      <c r="F54" s="12">
        <v>1350</v>
      </c>
      <c r="G54" s="11">
        <f t="shared" si="1"/>
        <v>3847.5</v>
      </c>
      <c r="H54" s="8">
        <v>30</v>
      </c>
      <c r="I54" s="13">
        <v>40817</v>
      </c>
      <c r="J54" s="13">
        <v>40823</v>
      </c>
    </row>
    <row r="55" spans="1:10" hidden="1" x14ac:dyDescent="0.2">
      <c r="A55" s="10" t="s">
        <v>11</v>
      </c>
      <c r="B55" s="2" t="s">
        <v>186</v>
      </c>
      <c r="C55" s="5">
        <v>6433</v>
      </c>
      <c r="D55" s="4" t="s">
        <v>21</v>
      </c>
      <c r="E55" s="11">
        <v>2.95</v>
      </c>
      <c r="F55" s="12">
        <v>1500</v>
      </c>
      <c r="G55" s="11">
        <f t="shared" si="1"/>
        <v>4425</v>
      </c>
      <c r="H55" s="16">
        <v>15</v>
      </c>
      <c r="I55" s="13">
        <v>40817</v>
      </c>
      <c r="J55" s="13">
        <v>40826</v>
      </c>
    </row>
    <row r="56" spans="1:10" hidden="1" x14ac:dyDescent="0.2">
      <c r="A56" s="10" t="s">
        <v>3</v>
      </c>
      <c r="B56" s="2" t="s">
        <v>187</v>
      </c>
      <c r="C56" s="14">
        <v>5166</v>
      </c>
      <c r="D56" s="10" t="s">
        <v>14</v>
      </c>
      <c r="E56" s="11">
        <v>1.25</v>
      </c>
      <c r="F56" s="12">
        <v>5650</v>
      </c>
      <c r="G56" s="11">
        <f t="shared" si="1"/>
        <v>7062.5</v>
      </c>
      <c r="H56" s="8">
        <v>30</v>
      </c>
      <c r="I56" s="13">
        <v>40817</v>
      </c>
      <c r="J56" s="13">
        <v>40822</v>
      </c>
    </row>
    <row r="57" spans="1:10" hidden="1" x14ac:dyDescent="0.2">
      <c r="A57" s="4" t="s">
        <v>7</v>
      </c>
      <c r="B57" s="2" t="s">
        <v>188</v>
      </c>
      <c r="C57" s="5">
        <v>1122</v>
      </c>
      <c r="D57" s="4" t="s">
        <v>4</v>
      </c>
      <c r="E57" s="6">
        <v>4.25</v>
      </c>
      <c r="F57" s="7">
        <v>18000</v>
      </c>
      <c r="G57" s="6">
        <f t="shared" si="1"/>
        <v>76500</v>
      </c>
      <c r="H57" s="8">
        <v>30</v>
      </c>
      <c r="I57" s="9">
        <v>40817</v>
      </c>
      <c r="J57" s="9">
        <v>40824</v>
      </c>
    </row>
    <row r="58" spans="1:10" hidden="1" x14ac:dyDescent="0.2">
      <c r="A58" s="4" t="s">
        <v>2</v>
      </c>
      <c r="B58" s="2" t="s">
        <v>189</v>
      </c>
      <c r="C58" s="5">
        <v>9399</v>
      </c>
      <c r="D58" s="4" t="s">
        <v>6</v>
      </c>
      <c r="E58" s="6">
        <v>3.65</v>
      </c>
      <c r="F58" s="7">
        <v>1450</v>
      </c>
      <c r="G58" s="6">
        <f t="shared" si="1"/>
        <v>5292.5</v>
      </c>
      <c r="H58" s="16">
        <v>45</v>
      </c>
      <c r="I58" s="9">
        <v>40819</v>
      </c>
      <c r="J58" s="9">
        <v>40824</v>
      </c>
    </row>
    <row r="59" spans="1:10" hidden="1" x14ac:dyDescent="0.2">
      <c r="A59" s="10" t="s">
        <v>1</v>
      </c>
      <c r="B59" s="2" t="s">
        <v>190</v>
      </c>
      <c r="C59" s="5">
        <v>6489</v>
      </c>
      <c r="D59" s="4" t="s">
        <v>21</v>
      </c>
      <c r="E59" s="11">
        <v>3</v>
      </c>
      <c r="F59" s="12">
        <v>1100</v>
      </c>
      <c r="G59" s="11">
        <f t="shared" si="1"/>
        <v>3300</v>
      </c>
      <c r="H59" s="8">
        <v>25</v>
      </c>
      <c r="I59" s="13">
        <v>40821</v>
      </c>
      <c r="J59" s="13">
        <v>40826</v>
      </c>
    </row>
    <row r="60" spans="1:10" hidden="1" x14ac:dyDescent="0.2">
      <c r="A60" s="4" t="s">
        <v>2</v>
      </c>
      <c r="B60" s="2" t="s">
        <v>191</v>
      </c>
      <c r="C60" s="5">
        <v>9399</v>
      </c>
      <c r="D60" s="4" t="s">
        <v>6</v>
      </c>
      <c r="E60" s="6">
        <v>3.65</v>
      </c>
      <c r="F60" s="7">
        <v>1985</v>
      </c>
      <c r="G60" s="6">
        <f t="shared" si="1"/>
        <v>7245.25</v>
      </c>
      <c r="H60" s="16">
        <v>45</v>
      </c>
      <c r="I60" s="9">
        <v>40821</v>
      </c>
      <c r="J60" s="9">
        <v>40827</v>
      </c>
    </row>
    <row r="61" spans="1:10" hidden="1" x14ac:dyDescent="0.2">
      <c r="A61" s="4" t="s">
        <v>1</v>
      </c>
      <c r="B61" s="2" t="s">
        <v>192</v>
      </c>
      <c r="C61" s="5">
        <v>4111</v>
      </c>
      <c r="D61" s="4" t="s">
        <v>5</v>
      </c>
      <c r="E61" s="6">
        <v>3.55</v>
      </c>
      <c r="F61" s="7">
        <v>4600</v>
      </c>
      <c r="G61" s="6">
        <f t="shared" si="1"/>
        <v>16330</v>
      </c>
      <c r="H61" s="8">
        <v>25</v>
      </c>
      <c r="I61" s="9">
        <v>40821</v>
      </c>
      <c r="J61" s="9">
        <v>40835</v>
      </c>
    </row>
    <row r="62" spans="1:10" hidden="1" x14ac:dyDescent="0.2">
      <c r="A62" s="15" t="s">
        <v>2</v>
      </c>
      <c r="B62" s="2" t="s">
        <v>193</v>
      </c>
      <c r="C62" s="5">
        <v>4569</v>
      </c>
      <c r="D62" s="4" t="s">
        <v>5</v>
      </c>
      <c r="E62" s="11">
        <v>3.5</v>
      </c>
      <c r="F62" s="12">
        <v>3900</v>
      </c>
      <c r="G62" s="11">
        <f t="shared" si="1"/>
        <v>13650</v>
      </c>
      <c r="H62" s="16">
        <v>45</v>
      </c>
      <c r="I62" s="13">
        <v>40821</v>
      </c>
      <c r="J62" s="13">
        <v>40826</v>
      </c>
    </row>
    <row r="63" spans="1:10" hidden="1" x14ac:dyDescent="0.2">
      <c r="A63" s="10" t="s">
        <v>10</v>
      </c>
      <c r="B63" s="2" t="s">
        <v>194</v>
      </c>
      <c r="C63" s="5">
        <v>6431</v>
      </c>
      <c r="D63" s="4" t="s">
        <v>21</v>
      </c>
      <c r="E63" s="11">
        <v>2.85</v>
      </c>
      <c r="F63" s="12">
        <v>1250</v>
      </c>
      <c r="G63" s="11">
        <f t="shared" si="1"/>
        <v>3562.5</v>
      </c>
      <c r="H63" s="8">
        <v>30</v>
      </c>
      <c r="I63" s="13">
        <v>40821</v>
      </c>
      <c r="J63" s="13">
        <v>40826</v>
      </c>
    </row>
    <row r="64" spans="1:10" hidden="1" x14ac:dyDescent="0.2">
      <c r="A64" s="4" t="s">
        <v>2</v>
      </c>
      <c r="B64" s="2" t="s">
        <v>195</v>
      </c>
      <c r="C64" s="5">
        <v>9399</v>
      </c>
      <c r="D64" s="4" t="s">
        <v>6</v>
      </c>
      <c r="E64" s="6">
        <v>3.65</v>
      </c>
      <c r="F64" s="7">
        <v>1470</v>
      </c>
      <c r="G64" s="6">
        <f t="shared" si="1"/>
        <v>5365.5</v>
      </c>
      <c r="H64" s="16">
        <v>45</v>
      </c>
      <c r="I64" s="9">
        <v>40823</v>
      </c>
      <c r="J64" s="9">
        <v>40828</v>
      </c>
    </row>
    <row r="65" spans="1:10" hidden="1" x14ac:dyDescent="0.2">
      <c r="A65" s="15" t="s">
        <v>2</v>
      </c>
      <c r="B65" s="2" t="s">
        <v>196</v>
      </c>
      <c r="C65" s="14">
        <v>5454</v>
      </c>
      <c r="D65" s="10" t="s">
        <v>12</v>
      </c>
      <c r="E65" s="11">
        <v>220</v>
      </c>
      <c r="F65" s="12">
        <v>550</v>
      </c>
      <c r="G65" s="11">
        <f t="shared" si="1"/>
        <v>121000</v>
      </c>
      <c r="H65" s="16">
        <v>45</v>
      </c>
      <c r="I65" s="13">
        <v>40825</v>
      </c>
      <c r="J65" s="13">
        <v>40830</v>
      </c>
    </row>
    <row r="66" spans="1:10" hidden="1" x14ac:dyDescent="0.2">
      <c r="A66" s="10" t="s">
        <v>1</v>
      </c>
      <c r="B66" s="2" t="s">
        <v>197</v>
      </c>
      <c r="C66" s="5">
        <v>6489</v>
      </c>
      <c r="D66" s="4" t="s">
        <v>21</v>
      </c>
      <c r="E66" s="11">
        <v>3</v>
      </c>
      <c r="F66" s="12">
        <v>900</v>
      </c>
      <c r="G66" s="11">
        <f t="shared" si="1"/>
        <v>2700</v>
      </c>
      <c r="H66" s="8">
        <v>25</v>
      </c>
      <c r="I66" s="13">
        <v>40826</v>
      </c>
      <c r="J66" s="13">
        <v>40834</v>
      </c>
    </row>
    <row r="67" spans="1:10" hidden="1" x14ac:dyDescent="0.2">
      <c r="A67" s="10" t="s">
        <v>8</v>
      </c>
      <c r="B67" s="2" t="s">
        <v>198</v>
      </c>
      <c r="C67" s="5">
        <v>1243</v>
      </c>
      <c r="D67" s="4" t="s">
        <v>4</v>
      </c>
      <c r="E67" s="11">
        <v>4.25</v>
      </c>
      <c r="F67" s="12">
        <v>10500</v>
      </c>
      <c r="G67" s="6">
        <f t="shared" si="1"/>
        <v>44625</v>
      </c>
      <c r="H67" s="8">
        <v>30</v>
      </c>
      <c r="I67" s="13">
        <v>40826</v>
      </c>
      <c r="J67" s="13">
        <v>40833</v>
      </c>
    </row>
    <row r="68" spans="1:10" hidden="1" x14ac:dyDescent="0.2">
      <c r="A68" s="10" t="s">
        <v>9</v>
      </c>
      <c r="B68" s="2" t="s">
        <v>216</v>
      </c>
      <c r="C68" s="14">
        <v>8008</v>
      </c>
      <c r="D68" s="10" t="s">
        <v>18</v>
      </c>
      <c r="E68" s="11">
        <v>645</v>
      </c>
      <c r="F68" s="12">
        <v>100</v>
      </c>
      <c r="G68" s="11">
        <f t="shared" ref="G68:G97" si="2">E68*F68</f>
        <v>64500</v>
      </c>
      <c r="H68" s="8">
        <v>30</v>
      </c>
      <c r="I68" s="13">
        <v>40826</v>
      </c>
      <c r="J68" s="13">
        <v>40837</v>
      </c>
    </row>
    <row r="69" spans="1:10" hidden="1" x14ac:dyDescent="0.2">
      <c r="A69" s="10" t="s">
        <v>10</v>
      </c>
      <c r="B69" s="2" t="s">
        <v>217</v>
      </c>
      <c r="C69" s="14">
        <v>7258</v>
      </c>
      <c r="D69" s="10" t="s">
        <v>19</v>
      </c>
      <c r="E69" s="11">
        <v>100.5</v>
      </c>
      <c r="F69" s="12">
        <v>90</v>
      </c>
      <c r="G69" s="11">
        <f t="shared" si="2"/>
        <v>9045</v>
      </c>
      <c r="H69" s="8">
        <v>30</v>
      </c>
      <c r="I69" s="13">
        <v>40826</v>
      </c>
      <c r="J69" s="13">
        <v>40833</v>
      </c>
    </row>
    <row r="70" spans="1:10" hidden="1" x14ac:dyDescent="0.2">
      <c r="A70" s="10" t="s">
        <v>10</v>
      </c>
      <c r="B70" s="2" t="s">
        <v>218</v>
      </c>
      <c r="C70" s="14">
        <v>8148</v>
      </c>
      <c r="D70" s="10" t="s">
        <v>18</v>
      </c>
      <c r="E70" s="11">
        <v>655.5</v>
      </c>
      <c r="F70" s="12">
        <v>125</v>
      </c>
      <c r="G70" s="11">
        <f t="shared" si="2"/>
        <v>81937.5</v>
      </c>
      <c r="H70" s="8">
        <v>30</v>
      </c>
      <c r="I70" s="13">
        <v>40826</v>
      </c>
      <c r="J70" s="13">
        <v>40833</v>
      </c>
    </row>
    <row r="71" spans="1:10" hidden="1" x14ac:dyDescent="0.2">
      <c r="A71" s="4" t="s">
        <v>7</v>
      </c>
      <c r="B71" s="2" t="s">
        <v>219</v>
      </c>
      <c r="C71" s="5">
        <v>1122</v>
      </c>
      <c r="D71" s="4" t="s">
        <v>4</v>
      </c>
      <c r="E71" s="6">
        <v>4.25</v>
      </c>
      <c r="F71" s="7">
        <v>17000</v>
      </c>
      <c r="G71" s="6">
        <f t="shared" si="2"/>
        <v>72250</v>
      </c>
      <c r="H71" s="8">
        <v>30</v>
      </c>
      <c r="I71" s="9">
        <v>40827</v>
      </c>
      <c r="J71" s="9">
        <v>40835</v>
      </c>
    </row>
    <row r="72" spans="1:10" hidden="1" x14ac:dyDescent="0.2">
      <c r="A72" s="4" t="s">
        <v>3</v>
      </c>
      <c r="B72" s="2" t="s">
        <v>220</v>
      </c>
      <c r="C72" s="5">
        <v>6321</v>
      </c>
      <c r="D72" s="4" t="s">
        <v>21</v>
      </c>
      <c r="E72" s="6">
        <v>2.4500000000000002</v>
      </c>
      <c r="F72" s="7">
        <v>1250</v>
      </c>
      <c r="G72" s="6">
        <f t="shared" si="2"/>
        <v>3062.5</v>
      </c>
      <c r="H72" s="8">
        <v>30</v>
      </c>
      <c r="I72" s="9">
        <v>40828</v>
      </c>
      <c r="J72" s="9">
        <v>40837</v>
      </c>
    </row>
    <row r="73" spans="1:10" hidden="1" x14ac:dyDescent="0.2">
      <c r="A73" s="10" t="s">
        <v>8</v>
      </c>
      <c r="B73" s="2" t="s">
        <v>221</v>
      </c>
      <c r="C73" s="5">
        <v>4224</v>
      </c>
      <c r="D73" s="4" t="s">
        <v>5</v>
      </c>
      <c r="E73" s="11">
        <v>3.95</v>
      </c>
      <c r="F73" s="12">
        <v>4500</v>
      </c>
      <c r="G73" s="11">
        <f t="shared" si="2"/>
        <v>17775</v>
      </c>
      <c r="H73" s="8">
        <v>30</v>
      </c>
      <c r="I73" s="13">
        <v>40831</v>
      </c>
      <c r="J73" s="13">
        <v>40836</v>
      </c>
    </row>
    <row r="74" spans="1:10" hidden="1" x14ac:dyDescent="0.2">
      <c r="A74" s="15" t="s">
        <v>2</v>
      </c>
      <c r="B74" s="2" t="s">
        <v>222</v>
      </c>
      <c r="C74" s="14">
        <v>5454</v>
      </c>
      <c r="D74" s="10" t="s">
        <v>12</v>
      </c>
      <c r="E74" s="11">
        <v>220</v>
      </c>
      <c r="F74" s="12">
        <v>500</v>
      </c>
      <c r="G74" s="11">
        <f t="shared" si="2"/>
        <v>110000</v>
      </c>
      <c r="H74" s="16">
        <v>45</v>
      </c>
      <c r="I74" s="13">
        <v>40831</v>
      </c>
      <c r="J74" s="13">
        <v>40836</v>
      </c>
    </row>
    <row r="75" spans="1:10" hidden="1" x14ac:dyDescent="0.2">
      <c r="A75" s="10" t="s">
        <v>10</v>
      </c>
      <c r="B75" s="2" t="s">
        <v>223</v>
      </c>
      <c r="C75" s="14">
        <v>7258</v>
      </c>
      <c r="D75" s="10" t="s">
        <v>19</v>
      </c>
      <c r="E75" s="11">
        <v>100.5</v>
      </c>
      <c r="F75" s="12">
        <v>100</v>
      </c>
      <c r="G75" s="11">
        <f t="shared" si="2"/>
        <v>10050</v>
      </c>
      <c r="H75" s="8">
        <v>30</v>
      </c>
      <c r="I75" s="13">
        <v>40831</v>
      </c>
      <c r="J75" s="13">
        <v>40840</v>
      </c>
    </row>
    <row r="76" spans="1:10" hidden="1" x14ac:dyDescent="0.2">
      <c r="A76" s="10" t="s">
        <v>9</v>
      </c>
      <c r="B76" s="2" t="s">
        <v>224</v>
      </c>
      <c r="C76" s="14">
        <v>8008</v>
      </c>
      <c r="D76" s="10" t="s">
        <v>18</v>
      </c>
      <c r="E76" s="11">
        <v>645</v>
      </c>
      <c r="F76" s="12">
        <v>150</v>
      </c>
      <c r="G76" s="11">
        <f t="shared" si="2"/>
        <v>96750</v>
      </c>
      <c r="H76" s="8">
        <v>30</v>
      </c>
      <c r="I76" s="13">
        <v>40831</v>
      </c>
      <c r="J76" s="13">
        <v>40842</v>
      </c>
    </row>
    <row r="77" spans="1:10" hidden="1" x14ac:dyDescent="0.2">
      <c r="A77" s="10" t="s">
        <v>8</v>
      </c>
      <c r="B77" s="2" t="s">
        <v>225</v>
      </c>
      <c r="C77" s="14">
        <v>5417</v>
      </c>
      <c r="D77" s="10" t="s">
        <v>12</v>
      </c>
      <c r="E77" s="17">
        <v>255</v>
      </c>
      <c r="F77" s="12">
        <v>500</v>
      </c>
      <c r="G77" s="11">
        <f t="shared" si="2"/>
        <v>127500</v>
      </c>
      <c r="H77" s="8">
        <v>30</v>
      </c>
      <c r="I77" s="13">
        <v>40836</v>
      </c>
      <c r="J77" s="13">
        <v>40843</v>
      </c>
    </row>
    <row r="78" spans="1:10" hidden="1" x14ac:dyDescent="0.2">
      <c r="A78" s="10" t="s">
        <v>10</v>
      </c>
      <c r="B78" s="2" t="s">
        <v>226</v>
      </c>
      <c r="C78" s="14">
        <v>7258</v>
      </c>
      <c r="D78" s="10" t="s">
        <v>19</v>
      </c>
      <c r="E78" s="11">
        <v>100.5</v>
      </c>
      <c r="F78" s="12">
        <v>95</v>
      </c>
      <c r="G78" s="11">
        <f t="shared" si="2"/>
        <v>9547.5</v>
      </c>
      <c r="H78" s="8">
        <v>30</v>
      </c>
      <c r="I78" s="13">
        <v>40836</v>
      </c>
      <c r="J78" s="13">
        <v>40845</v>
      </c>
    </row>
    <row r="79" spans="1:10" hidden="1" x14ac:dyDescent="0.2">
      <c r="A79" s="10" t="s">
        <v>8</v>
      </c>
      <c r="B79" s="2" t="s">
        <v>227</v>
      </c>
      <c r="C79" s="14">
        <v>5634</v>
      </c>
      <c r="D79" s="10" t="s">
        <v>13</v>
      </c>
      <c r="E79" s="11">
        <v>185</v>
      </c>
      <c r="F79" s="12">
        <v>150</v>
      </c>
      <c r="G79" s="11">
        <f t="shared" si="2"/>
        <v>27750</v>
      </c>
      <c r="H79" s="8">
        <v>30</v>
      </c>
      <c r="I79" s="13">
        <v>40841</v>
      </c>
      <c r="J79" s="13">
        <v>40850</v>
      </c>
    </row>
    <row r="80" spans="1:10" hidden="1" x14ac:dyDescent="0.2">
      <c r="A80" s="15" t="s">
        <v>2</v>
      </c>
      <c r="B80" s="2" t="s">
        <v>228</v>
      </c>
      <c r="C80" s="14">
        <v>5275</v>
      </c>
      <c r="D80" s="10" t="s">
        <v>20</v>
      </c>
      <c r="E80" s="11">
        <v>1</v>
      </c>
      <c r="F80" s="12">
        <v>25000</v>
      </c>
      <c r="G80" s="11">
        <f t="shared" si="2"/>
        <v>25000</v>
      </c>
      <c r="H80" s="16">
        <v>45</v>
      </c>
      <c r="I80" s="13">
        <v>40841</v>
      </c>
      <c r="J80" s="13">
        <v>40846</v>
      </c>
    </row>
    <row r="81" spans="1:10" hidden="1" x14ac:dyDescent="0.2">
      <c r="A81" s="4" t="s">
        <v>3</v>
      </c>
      <c r="B81" s="2" t="s">
        <v>229</v>
      </c>
      <c r="C81" s="5">
        <v>6321</v>
      </c>
      <c r="D81" s="4" t="s">
        <v>21</v>
      </c>
      <c r="E81" s="6">
        <v>2.4500000000000002</v>
      </c>
      <c r="F81" s="7">
        <v>1500</v>
      </c>
      <c r="G81" s="6">
        <f t="shared" si="2"/>
        <v>3675.0000000000005</v>
      </c>
      <c r="H81" s="8">
        <v>30</v>
      </c>
      <c r="I81" s="9">
        <v>40841</v>
      </c>
      <c r="J81" s="9">
        <v>40849</v>
      </c>
    </row>
    <row r="82" spans="1:10" hidden="1" x14ac:dyDescent="0.2">
      <c r="A82" s="10" t="s">
        <v>3</v>
      </c>
      <c r="B82" s="2" t="s">
        <v>230</v>
      </c>
      <c r="C82" s="14">
        <v>5689</v>
      </c>
      <c r="D82" s="10" t="s">
        <v>13</v>
      </c>
      <c r="E82" s="11">
        <v>175</v>
      </c>
      <c r="F82" s="12">
        <v>155</v>
      </c>
      <c r="G82" s="11">
        <f t="shared" si="2"/>
        <v>27125</v>
      </c>
      <c r="H82" s="8">
        <v>30</v>
      </c>
      <c r="I82" s="13">
        <v>40841</v>
      </c>
      <c r="J82" s="13">
        <v>40850</v>
      </c>
    </row>
    <row r="83" spans="1:10" hidden="1" x14ac:dyDescent="0.2">
      <c r="A83" s="4" t="s">
        <v>7</v>
      </c>
      <c r="B83" s="2" t="s">
        <v>231</v>
      </c>
      <c r="C83" s="5">
        <v>1122</v>
      </c>
      <c r="D83" s="4" t="s">
        <v>4</v>
      </c>
      <c r="E83" s="6">
        <v>4.25</v>
      </c>
      <c r="F83" s="7">
        <v>17500</v>
      </c>
      <c r="G83" s="6">
        <f t="shared" si="2"/>
        <v>74375</v>
      </c>
      <c r="H83" s="8">
        <v>30</v>
      </c>
      <c r="I83" s="9">
        <v>40841</v>
      </c>
      <c r="J83" s="9">
        <v>40850</v>
      </c>
    </row>
    <row r="84" spans="1:10" hidden="1" x14ac:dyDescent="0.2">
      <c r="A84" s="10" t="s">
        <v>9</v>
      </c>
      <c r="B84" s="2" t="s">
        <v>232</v>
      </c>
      <c r="C84" s="14">
        <v>5677</v>
      </c>
      <c r="D84" s="10" t="s">
        <v>13</v>
      </c>
      <c r="E84" s="11">
        <v>195</v>
      </c>
      <c r="F84" s="12">
        <v>130</v>
      </c>
      <c r="G84" s="11">
        <f t="shared" si="2"/>
        <v>25350</v>
      </c>
      <c r="H84" s="8">
        <v>30</v>
      </c>
      <c r="I84" s="13">
        <v>40844</v>
      </c>
      <c r="J84" s="13">
        <v>40854</v>
      </c>
    </row>
    <row r="85" spans="1:10" hidden="1" x14ac:dyDescent="0.2">
      <c r="A85" s="10" t="s">
        <v>9</v>
      </c>
      <c r="B85" s="2" t="s">
        <v>233</v>
      </c>
      <c r="C85" s="14">
        <v>8008</v>
      </c>
      <c r="D85" s="10" t="s">
        <v>18</v>
      </c>
      <c r="E85" s="11">
        <v>645</v>
      </c>
      <c r="F85" s="12">
        <v>120</v>
      </c>
      <c r="G85" s="11">
        <f t="shared" si="2"/>
        <v>77400</v>
      </c>
      <c r="H85" s="8">
        <v>30</v>
      </c>
      <c r="I85" s="13">
        <v>40844</v>
      </c>
      <c r="J85" s="13">
        <v>40851</v>
      </c>
    </row>
    <row r="86" spans="1:10" hidden="1" x14ac:dyDescent="0.2">
      <c r="A86" s="10" t="s">
        <v>1</v>
      </c>
      <c r="B86" s="2" t="s">
        <v>234</v>
      </c>
      <c r="C86" s="5">
        <v>6489</v>
      </c>
      <c r="D86" s="4" t="s">
        <v>21</v>
      </c>
      <c r="E86" s="11">
        <v>3</v>
      </c>
      <c r="F86" s="12">
        <v>1050</v>
      </c>
      <c r="G86" s="11">
        <f t="shared" si="2"/>
        <v>3150</v>
      </c>
      <c r="H86" s="8">
        <v>25</v>
      </c>
      <c r="I86" s="13">
        <v>40845</v>
      </c>
      <c r="J86" s="13">
        <v>40857</v>
      </c>
    </row>
    <row r="87" spans="1:10" hidden="1" x14ac:dyDescent="0.2">
      <c r="A87" s="10" t="s">
        <v>8</v>
      </c>
      <c r="B87" s="2" t="s">
        <v>235</v>
      </c>
      <c r="C87" s="14">
        <v>5634</v>
      </c>
      <c r="D87" s="10" t="s">
        <v>13</v>
      </c>
      <c r="E87" s="11">
        <v>185</v>
      </c>
      <c r="F87" s="12">
        <v>140</v>
      </c>
      <c r="G87" s="11">
        <f t="shared" si="2"/>
        <v>25900</v>
      </c>
      <c r="H87" s="8">
        <v>30</v>
      </c>
      <c r="I87" s="13">
        <v>40845</v>
      </c>
      <c r="J87" s="13">
        <v>40851</v>
      </c>
    </row>
    <row r="88" spans="1:10" hidden="1" x14ac:dyDescent="0.2">
      <c r="A88" s="10" t="s">
        <v>10</v>
      </c>
      <c r="B88" s="2" t="s">
        <v>236</v>
      </c>
      <c r="C88" s="14">
        <v>9977</v>
      </c>
      <c r="D88" s="10" t="s">
        <v>15</v>
      </c>
      <c r="E88" s="11">
        <v>1</v>
      </c>
      <c r="F88" s="12">
        <v>525</v>
      </c>
      <c r="G88" s="11">
        <f t="shared" si="2"/>
        <v>525</v>
      </c>
      <c r="H88" s="8">
        <v>30</v>
      </c>
      <c r="I88" s="13">
        <v>40848</v>
      </c>
      <c r="J88" s="13">
        <v>40854</v>
      </c>
    </row>
    <row r="89" spans="1:10" hidden="1" x14ac:dyDescent="0.2">
      <c r="A89" s="10" t="s">
        <v>10</v>
      </c>
      <c r="B89" s="2" t="s">
        <v>237</v>
      </c>
      <c r="C89" s="14">
        <v>9955</v>
      </c>
      <c r="D89" s="10" t="s">
        <v>17</v>
      </c>
      <c r="E89" s="11">
        <v>0.55000000000000004</v>
      </c>
      <c r="F89" s="12">
        <v>150</v>
      </c>
      <c r="G89" s="11">
        <f t="shared" si="2"/>
        <v>82.5</v>
      </c>
      <c r="H89" s="8">
        <v>30</v>
      </c>
      <c r="I89" s="13">
        <v>40848</v>
      </c>
      <c r="J89" s="13">
        <v>40853</v>
      </c>
    </row>
    <row r="90" spans="1:10" hidden="1" x14ac:dyDescent="0.2">
      <c r="A90" s="10" t="s">
        <v>3</v>
      </c>
      <c r="B90" s="2" t="s">
        <v>238</v>
      </c>
      <c r="C90" s="14">
        <v>5689</v>
      </c>
      <c r="D90" s="10" t="s">
        <v>13</v>
      </c>
      <c r="E90" s="11">
        <v>175</v>
      </c>
      <c r="F90" s="12">
        <v>150</v>
      </c>
      <c r="G90" s="11">
        <f t="shared" si="2"/>
        <v>26250</v>
      </c>
      <c r="H90" s="8">
        <v>30</v>
      </c>
      <c r="I90" s="13">
        <v>40848</v>
      </c>
      <c r="J90" s="13">
        <v>40856</v>
      </c>
    </row>
    <row r="91" spans="1:10" hidden="1" x14ac:dyDescent="0.2">
      <c r="A91" s="10" t="s">
        <v>3</v>
      </c>
      <c r="B91" s="2" t="s">
        <v>239</v>
      </c>
      <c r="C91" s="14">
        <v>7268</v>
      </c>
      <c r="D91" s="10" t="s">
        <v>19</v>
      </c>
      <c r="E91" s="11">
        <v>95</v>
      </c>
      <c r="F91" s="12">
        <v>110</v>
      </c>
      <c r="G91" s="11">
        <f t="shared" si="2"/>
        <v>10450</v>
      </c>
      <c r="H91" s="8">
        <v>30</v>
      </c>
      <c r="I91" s="13">
        <v>40848</v>
      </c>
      <c r="J91" s="13">
        <v>40859</v>
      </c>
    </row>
    <row r="92" spans="1:10" hidden="1" x14ac:dyDescent="0.2">
      <c r="A92" s="10" t="s">
        <v>9</v>
      </c>
      <c r="B92" s="2" t="s">
        <v>240</v>
      </c>
      <c r="C92" s="14">
        <v>5677</v>
      </c>
      <c r="D92" s="10" t="s">
        <v>13</v>
      </c>
      <c r="E92" s="11">
        <v>195</v>
      </c>
      <c r="F92" s="12">
        <v>120</v>
      </c>
      <c r="G92" s="11">
        <f t="shared" si="2"/>
        <v>23400</v>
      </c>
      <c r="H92" s="8">
        <v>30</v>
      </c>
      <c r="I92" s="13">
        <v>40849</v>
      </c>
      <c r="J92" s="13">
        <v>40860</v>
      </c>
    </row>
    <row r="93" spans="1:10" hidden="1" x14ac:dyDescent="0.2">
      <c r="A93" s="10" t="s">
        <v>10</v>
      </c>
      <c r="B93" s="2" t="s">
        <v>241</v>
      </c>
      <c r="C93" s="14">
        <v>9967</v>
      </c>
      <c r="D93" s="10" t="s">
        <v>16</v>
      </c>
      <c r="E93" s="11">
        <v>0.85</v>
      </c>
      <c r="F93" s="12">
        <v>550</v>
      </c>
      <c r="G93" s="11">
        <f t="shared" si="2"/>
        <v>467.5</v>
      </c>
      <c r="H93" s="8">
        <v>30</v>
      </c>
      <c r="I93" s="13">
        <v>40852</v>
      </c>
      <c r="J93" s="13">
        <v>40858</v>
      </c>
    </row>
    <row r="94" spans="1:10" hidden="1" x14ac:dyDescent="0.2">
      <c r="A94" s="10" t="s">
        <v>3</v>
      </c>
      <c r="B94" s="2" t="s">
        <v>242</v>
      </c>
      <c r="C94" s="14">
        <v>7268</v>
      </c>
      <c r="D94" s="10" t="s">
        <v>19</v>
      </c>
      <c r="E94" s="11">
        <v>95</v>
      </c>
      <c r="F94" s="12">
        <v>105</v>
      </c>
      <c r="G94" s="11">
        <f t="shared" si="2"/>
        <v>9975</v>
      </c>
      <c r="H94" s="8">
        <v>30</v>
      </c>
      <c r="I94" s="13">
        <v>40852</v>
      </c>
      <c r="J94" s="13">
        <v>40863</v>
      </c>
    </row>
    <row r="95" spans="1:10" hidden="1" x14ac:dyDescent="0.2">
      <c r="A95" s="10" t="s">
        <v>3</v>
      </c>
      <c r="B95" s="2" t="s">
        <v>243</v>
      </c>
      <c r="C95" s="14">
        <v>5689</v>
      </c>
      <c r="D95" s="10" t="s">
        <v>13</v>
      </c>
      <c r="E95" s="11">
        <v>175</v>
      </c>
      <c r="F95" s="12">
        <v>175</v>
      </c>
      <c r="G95" s="11">
        <f t="shared" si="2"/>
        <v>30625</v>
      </c>
      <c r="H95" s="8">
        <v>30</v>
      </c>
      <c r="I95" s="13">
        <v>40852</v>
      </c>
      <c r="J95" s="13">
        <v>40862</v>
      </c>
    </row>
    <row r="96" spans="1:10" hidden="1" x14ac:dyDescent="0.2">
      <c r="A96" s="10" t="s">
        <v>9</v>
      </c>
      <c r="B96" s="2" t="s">
        <v>244</v>
      </c>
      <c r="C96" s="14">
        <v>5677</v>
      </c>
      <c r="D96" s="10" t="s">
        <v>13</v>
      </c>
      <c r="E96" s="11">
        <v>195</v>
      </c>
      <c r="F96" s="12">
        <v>110</v>
      </c>
      <c r="G96" s="11">
        <f t="shared" si="2"/>
        <v>21450</v>
      </c>
      <c r="H96" s="8">
        <v>30</v>
      </c>
      <c r="I96" s="13">
        <v>40852</v>
      </c>
      <c r="J96" s="13">
        <v>40864</v>
      </c>
    </row>
    <row r="97" spans="1:10" hidden="1" x14ac:dyDescent="0.2">
      <c r="A97" s="10" t="s">
        <v>10</v>
      </c>
      <c r="B97" s="2" t="s">
        <v>245</v>
      </c>
      <c r="C97" s="14">
        <v>9955</v>
      </c>
      <c r="D97" s="10" t="s">
        <v>17</v>
      </c>
      <c r="E97" s="11">
        <v>0.55000000000000004</v>
      </c>
      <c r="F97" s="12">
        <v>125</v>
      </c>
      <c r="G97" s="11">
        <f t="shared" si="2"/>
        <v>68.75</v>
      </c>
      <c r="H97" s="8">
        <v>30</v>
      </c>
      <c r="I97" s="13">
        <v>40852</v>
      </c>
      <c r="J97" s="13">
        <v>40857</v>
      </c>
    </row>
  </sheetData>
  <autoFilter ref="A3:J97">
    <filterColumn colId="3">
      <filters>
        <filter val="Control Panel"/>
      </filters>
    </filterColumn>
    <filterColumn colId="5">
      <customFilters>
        <customFilter operator="lessThan" val="500"/>
      </customFilters>
    </filterColumn>
  </autoFilter>
  <sortState ref="A4:J97">
    <sortCondition ref="I7"/>
  </sortState>
  <phoneticPr fontId="0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ColWidth="8.85546875" defaultRowHeight="15.75" x14ac:dyDescent="0.25"/>
  <cols>
    <col min="1" max="1" width="24.42578125" style="18" bestFit="1" customWidth="1"/>
    <col min="2" max="2" width="14" style="20" bestFit="1" customWidth="1"/>
    <col min="3" max="16384" width="8.85546875" style="2"/>
  </cols>
  <sheetData>
    <row r="1" spans="1:2" x14ac:dyDescent="0.25">
      <c r="A1" s="18" t="s">
        <v>39</v>
      </c>
      <c r="B1" s="19" t="s">
        <v>26</v>
      </c>
    </row>
    <row r="2" spans="1:2" x14ac:dyDescent="0.25">
      <c r="A2" s="18" t="s">
        <v>40</v>
      </c>
      <c r="B2" s="20">
        <v>2700</v>
      </c>
    </row>
    <row r="3" spans="1:2" x14ac:dyDescent="0.25">
      <c r="A3" s="18" t="s">
        <v>41</v>
      </c>
      <c r="B3" s="20">
        <v>19250</v>
      </c>
    </row>
    <row r="4" spans="1:2" x14ac:dyDescent="0.25">
      <c r="A4" s="18" t="s">
        <v>42</v>
      </c>
      <c r="B4" s="20">
        <v>15937.5</v>
      </c>
    </row>
    <row r="5" spans="1:2" x14ac:dyDescent="0.25">
      <c r="A5" s="18" t="s">
        <v>43</v>
      </c>
      <c r="B5" s="20">
        <v>18150</v>
      </c>
    </row>
    <row r="6" spans="1:2" x14ac:dyDescent="0.25">
      <c r="A6" s="18" t="s">
        <v>44</v>
      </c>
      <c r="B6" s="20">
        <v>23400</v>
      </c>
    </row>
    <row r="7" spans="1:2" x14ac:dyDescent="0.25">
      <c r="A7" s="18" t="s">
        <v>45</v>
      </c>
      <c r="B7" s="20">
        <v>15750</v>
      </c>
    </row>
    <row r="8" spans="1:2" x14ac:dyDescent="0.25">
      <c r="A8" s="18" t="s">
        <v>46</v>
      </c>
      <c r="B8" s="20">
        <v>17775</v>
      </c>
    </row>
    <row r="9" spans="1:2" x14ac:dyDescent="0.25">
      <c r="A9" s="18" t="s">
        <v>47</v>
      </c>
      <c r="B9" s="20">
        <v>127500</v>
      </c>
    </row>
    <row r="10" spans="1:2" x14ac:dyDescent="0.25">
      <c r="A10" s="18" t="s">
        <v>48</v>
      </c>
      <c r="B10" s="20">
        <v>42500</v>
      </c>
    </row>
    <row r="11" spans="1:2" x14ac:dyDescent="0.25">
      <c r="A11" s="18" t="s">
        <v>49</v>
      </c>
      <c r="B11" s="20">
        <v>103530</v>
      </c>
    </row>
    <row r="12" spans="1:2" x14ac:dyDescent="0.25">
      <c r="A12" s="18" t="s">
        <v>50</v>
      </c>
      <c r="B12" s="20">
        <v>6075</v>
      </c>
    </row>
    <row r="13" spans="1:2" x14ac:dyDescent="0.25">
      <c r="A13" s="18" t="s">
        <v>51</v>
      </c>
      <c r="B13" s="20">
        <v>3300</v>
      </c>
    </row>
    <row r="14" spans="1:2" x14ac:dyDescent="0.25">
      <c r="A14" s="18" t="s">
        <v>52</v>
      </c>
      <c r="B14" s="20">
        <v>6277.5</v>
      </c>
    </row>
    <row r="15" spans="1:2" x14ac:dyDescent="0.25">
      <c r="A15" s="18" t="s">
        <v>53</v>
      </c>
      <c r="B15" s="20">
        <v>17250</v>
      </c>
    </row>
    <row r="16" spans="1:2" x14ac:dyDescent="0.25">
      <c r="A16" s="18" t="s">
        <v>54</v>
      </c>
      <c r="B16" s="20">
        <v>3150</v>
      </c>
    </row>
    <row r="17" spans="1:2" x14ac:dyDescent="0.25">
      <c r="A17" s="18" t="s">
        <v>55</v>
      </c>
      <c r="B17" s="20">
        <v>14910</v>
      </c>
    </row>
    <row r="18" spans="1:2" x14ac:dyDescent="0.25">
      <c r="A18" s="18" t="s">
        <v>56</v>
      </c>
      <c r="B18" s="20">
        <v>4562.5</v>
      </c>
    </row>
    <row r="19" spans="1:2" x14ac:dyDescent="0.25">
      <c r="A19" s="18" t="s">
        <v>57</v>
      </c>
      <c r="B19" s="20">
        <v>5292.5</v>
      </c>
    </row>
    <row r="20" spans="1:2" x14ac:dyDescent="0.25">
      <c r="A20" s="18" t="s">
        <v>58</v>
      </c>
      <c r="B20" s="20">
        <v>121000</v>
      </c>
    </row>
    <row r="21" spans="1:2" x14ac:dyDescent="0.25">
      <c r="A21" s="18" t="s">
        <v>59</v>
      </c>
      <c r="B21" s="20">
        <v>5365.5</v>
      </c>
    </row>
    <row r="22" spans="1:2" x14ac:dyDescent="0.25">
      <c r="A22" s="18" t="s">
        <v>60</v>
      </c>
      <c r="B22" s="20">
        <v>7245.25</v>
      </c>
    </row>
    <row r="23" spans="1:2" x14ac:dyDescent="0.25">
      <c r="A23" s="18" t="s">
        <v>61</v>
      </c>
      <c r="B23" s="20">
        <v>15087.5</v>
      </c>
    </row>
    <row r="24" spans="1:2" x14ac:dyDescent="0.25">
      <c r="A24" s="18" t="s">
        <v>62</v>
      </c>
      <c r="B24" s="20">
        <v>14910</v>
      </c>
    </row>
    <row r="25" spans="1:2" x14ac:dyDescent="0.25">
      <c r="A25" s="18" t="s">
        <v>63</v>
      </c>
      <c r="B25" s="20">
        <v>16330</v>
      </c>
    </row>
    <row r="26" spans="1:2" x14ac:dyDescent="0.25">
      <c r="A26" s="18" t="s">
        <v>64</v>
      </c>
      <c r="B26" s="20">
        <v>110000</v>
      </c>
    </row>
    <row r="27" spans="1:2" x14ac:dyDescent="0.25">
      <c r="A27" s="18" t="s">
        <v>65</v>
      </c>
      <c r="B27" s="20">
        <v>13650</v>
      </c>
    </row>
    <row r="28" spans="1:2" x14ac:dyDescent="0.25">
      <c r="A28" s="18" t="s">
        <v>66</v>
      </c>
      <c r="B28" s="20">
        <v>63000</v>
      </c>
    </row>
    <row r="29" spans="1:2" x14ac:dyDescent="0.25">
      <c r="A29" s="18" t="s">
        <v>67</v>
      </c>
      <c r="B29" s="20">
        <v>3562.5</v>
      </c>
    </row>
    <row r="30" spans="1:2" x14ac:dyDescent="0.25">
      <c r="A30" s="18" t="s">
        <v>68</v>
      </c>
      <c r="B30" s="20">
        <v>9547.5</v>
      </c>
    </row>
    <row r="31" spans="1:2" x14ac:dyDescent="0.25">
      <c r="A31" s="18" t="s">
        <v>69</v>
      </c>
      <c r="B31" s="20">
        <v>525</v>
      </c>
    </row>
    <row r="32" spans="1:2" x14ac:dyDescent="0.25">
      <c r="A32" s="18" t="s">
        <v>70</v>
      </c>
      <c r="B32" s="20">
        <v>3847.5</v>
      </c>
    </row>
    <row r="33" spans="1:2" x14ac:dyDescent="0.25">
      <c r="A33" s="18" t="s">
        <v>71</v>
      </c>
      <c r="B33" s="20">
        <v>17040</v>
      </c>
    </row>
    <row r="34" spans="1:2" x14ac:dyDescent="0.25">
      <c r="A34" s="18" t="s">
        <v>72</v>
      </c>
      <c r="B34" s="20">
        <v>16276.75</v>
      </c>
    </row>
    <row r="35" spans="1:2" x14ac:dyDescent="0.25">
      <c r="A35" s="18" t="s">
        <v>73</v>
      </c>
      <c r="B35" s="20">
        <v>3705</v>
      </c>
    </row>
    <row r="36" spans="1:2" x14ac:dyDescent="0.25">
      <c r="A36" s="18" t="s">
        <v>74</v>
      </c>
      <c r="B36" s="20">
        <v>10050</v>
      </c>
    </row>
    <row r="37" spans="1:2" x14ac:dyDescent="0.25">
      <c r="A37" s="18" t="s">
        <v>75</v>
      </c>
      <c r="B37" s="20">
        <v>467.5</v>
      </c>
    </row>
    <row r="38" spans="1:2" x14ac:dyDescent="0.25">
      <c r="A38" s="18" t="s">
        <v>76</v>
      </c>
      <c r="B38" s="20">
        <v>82.5</v>
      </c>
    </row>
    <row r="39" spans="1:2" x14ac:dyDescent="0.25">
      <c r="A39" s="18" t="s">
        <v>77</v>
      </c>
      <c r="B39" s="20">
        <v>4425</v>
      </c>
    </row>
    <row r="40" spans="1:2" x14ac:dyDescent="0.25">
      <c r="A40" s="18" t="s">
        <v>78</v>
      </c>
      <c r="B40" s="20">
        <v>38250</v>
      </c>
    </row>
    <row r="41" spans="1:2" x14ac:dyDescent="0.25">
      <c r="A41" s="18" t="s">
        <v>79</v>
      </c>
      <c r="B41" s="20">
        <v>15562.5</v>
      </c>
    </row>
    <row r="42" spans="1:2" x14ac:dyDescent="0.25">
      <c r="A42" s="18" t="s">
        <v>80</v>
      </c>
      <c r="B42" s="20">
        <v>27750</v>
      </c>
    </row>
    <row r="43" spans="1:2" x14ac:dyDescent="0.25">
      <c r="A43" s="18" t="s">
        <v>81</v>
      </c>
      <c r="B43" s="20">
        <v>25900</v>
      </c>
    </row>
    <row r="44" spans="1:2" x14ac:dyDescent="0.25">
      <c r="A44" s="18" t="s">
        <v>82</v>
      </c>
      <c r="B44" s="20">
        <v>44625</v>
      </c>
    </row>
    <row r="45" spans="1:2" x14ac:dyDescent="0.25">
      <c r="A45" s="18" t="s">
        <v>83</v>
      </c>
      <c r="B45" s="20">
        <v>7425</v>
      </c>
    </row>
    <row r="46" spans="1:2" x14ac:dyDescent="0.25">
      <c r="A46" s="18" t="s">
        <v>84</v>
      </c>
      <c r="B46" s="20">
        <v>9000</v>
      </c>
    </row>
    <row r="47" spans="1:2" x14ac:dyDescent="0.25">
      <c r="A47" s="18" t="s">
        <v>85</v>
      </c>
      <c r="B47" s="20">
        <v>10800</v>
      </c>
    </row>
    <row r="48" spans="1:2" x14ac:dyDescent="0.25">
      <c r="A48" s="18" t="s">
        <v>86</v>
      </c>
      <c r="B48" s="20">
        <v>58800</v>
      </c>
    </row>
    <row r="49" spans="1:2" x14ac:dyDescent="0.25">
      <c r="A49" s="18" t="s">
        <v>87</v>
      </c>
      <c r="B49" s="20">
        <v>25000</v>
      </c>
    </row>
    <row r="50" spans="1:2" x14ac:dyDescent="0.25">
      <c r="A50" s="18" t="s">
        <v>88</v>
      </c>
      <c r="B50" s="20">
        <v>42000</v>
      </c>
    </row>
    <row r="51" spans="1:2" x14ac:dyDescent="0.25">
      <c r="A51" s="18" t="s">
        <v>89</v>
      </c>
      <c r="B51" s="20">
        <v>3185.0000000000005</v>
      </c>
    </row>
    <row r="52" spans="1:2" x14ac:dyDescent="0.25">
      <c r="A52" s="18" t="s">
        <v>90</v>
      </c>
      <c r="B52" s="20">
        <v>2940</v>
      </c>
    </row>
    <row r="53" spans="1:2" x14ac:dyDescent="0.25">
      <c r="A53" s="18" t="s">
        <v>91</v>
      </c>
      <c r="B53" s="20">
        <v>6125</v>
      </c>
    </row>
    <row r="54" spans="1:2" x14ac:dyDescent="0.25">
      <c r="A54" s="18" t="s">
        <v>92</v>
      </c>
      <c r="B54" s="20">
        <v>3062.5</v>
      </c>
    </row>
    <row r="55" spans="1:2" x14ac:dyDescent="0.25">
      <c r="A55" s="18" t="s">
        <v>93</v>
      </c>
      <c r="B55" s="20">
        <v>3675.0000000000005</v>
      </c>
    </row>
    <row r="56" spans="1:2" x14ac:dyDescent="0.25">
      <c r="A56" s="18" t="s">
        <v>94</v>
      </c>
      <c r="B56" s="20">
        <v>26250</v>
      </c>
    </row>
    <row r="57" spans="1:2" x14ac:dyDescent="0.25">
      <c r="A57" s="18" t="s">
        <v>95</v>
      </c>
      <c r="B57" s="20">
        <v>10450</v>
      </c>
    </row>
    <row r="58" spans="1:2" x14ac:dyDescent="0.25">
      <c r="A58" s="18" t="s">
        <v>96</v>
      </c>
      <c r="B58" s="20">
        <v>9975</v>
      </c>
    </row>
    <row r="59" spans="1:2" x14ac:dyDescent="0.25">
      <c r="A59" s="18" t="s">
        <v>97</v>
      </c>
      <c r="B59" s="20">
        <v>23625</v>
      </c>
    </row>
    <row r="60" spans="1:2" x14ac:dyDescent="0.25">
      <c r="A60" s="18" t="s">
        <v>98</v>
      </c>
      <c r="B60" s="20">
        <v>30625</v>
      </c>
    </row>
    <row r="61" spans="1:2" x14ac:dyDescent="0.25">
      <c r="A61" s="18" t="s">
        <v>99</v>
      </c>
      <c r="B61" s="20">
        <v>22575</v>
      </c>
    </row>
    <row r="62" spans="1:2" x14ac:dyDescent="0.25">
      <c r="A62" s="18" t="s">
        <v>100</v>
      </c>
      <c r="B62" s="20">
        <v>24150</v>
      </c>
    </row>
    <row r="63" spans="1:2" x14ac:dyDescent="0.25">
      <c r="A63" s="18" t="s">
        <v>101</v>
      </c>
      <c r="B63" s="20">
        <v>21450</v>
      </c>
    </row>
    <row r="64" spans="1:2" x14ac:dyDescent="0.25">
      <c r="A64" s="18" t="s">
        <v>102</v>
      </c>
      <c r="B64" s="20">
        <v>7425</v>
      </c>
    </row>
    <row r="65" spans="1:2" x14ac:dyDescent="0.25">
      <c r="A65" s="18" t="s">
        <v>103</v>
      </c>
      <c r="B65" s="20">
        <v>7837.5</v>
      </c>
    </row>
    <row r="66" spans="1:2" x14ac:dyDescent="0.25">
      <c r="A66" s="18" t="s">
        <v>104</v>
      </c>
      <c r="B66" s="20">
        <v>8002.5</v>
      </c>
    </row>
    <row r="67" spans="1:2" x14ac:dyDescent="0.25">
      <c r="A67" s="18" t="s">
        <v>105</v>
      </c>
      <c r="B67" s="20">
        <v>96750</v>
      </c>
    </row>
    <row r="68" spans="1:2" x14ac:dyDescent="0.25">
      <c r="A68" s="18" t="s">
        <v>106</v>
      </c>
      <c r="B68" s="20">
        <v>64500</v>
      </c>
    </row>
    <row r="69" spans="1:2" x14ac:dyDescent="0.25">
      <c r="A69" s="18" t="s">
        <v>107</v>
      </c>
      <c r="B69" s="20">
        <v>7062.5</v>
      </c>
    </row>
    <row r="70" spans="1:2" x14ac:dyDescent="0.25">
      <c r="A70" s="18" t="s">
        <v>108</v>
      </c>
      <c r="B70" s="20">
        <v>27125</v>
      </c>
    </row>
    <row r="71" spans="1:2" x14ac:dyDescent="0.25">
      <c r="A71" s="18" t="s">
        <v>109</v>
      </c>
      <c r="B71" s="20">
        <v>23625</v>
      </c>
    </row>
    <row r="72" spans="1:2" x14ac:dyDescent="0.25">
      <c r="A72" s="18" t="s">
        <v>110</v>
      </c>
      <c r="B72" s="20">
        <v>25350</v>
      </c>
    </row>
    <row r="73" spans="1:2" x14ac:dyDescent="0.25">
      <c r="A73" s="18" t="s">
        <v>111</v>
      </c>
      <c r="B73" s="20">
        <v>77400</v>
      </c>
    </row>
    <row r="74" spans="1:2" x14ac:dyDescent="0.25">
      <c r="A74" s="18" t="s">
        <v>112</v>
      </c>
      <c r="B74" s="20">
        <v>19910</v>
      </c>
    </row>
    <row r="75" spans="1:2" x14ac:dyDescent="0.25">
      <c r="A75" s="18" t="s">
        <v>113</v>
      </c>
      <c r="B75" s="20">
        <v>68.75</v>
      </c>
    </row>
    <row r="76" spans="1:2" x14ac:dyDescent="0.25">
      <c r="A76" s="18" t="s">
        <v>114</v>
      </c>
      <c r="B76" s="20">
        <v>82875</v>
      </c>
    </row>
    <row r="77" spans="1:2" x14ac:dyDescent="0.25">
      <c r="A77" s="18" t="s">
        <v>115</v>
      </c>
      <c r="B77" s="20">
        <v>7000</v>
      </c>
    </row>
    <row r="78" spans="1:2" x14ac:dyDescent="0.25">
      <c r="A78" s="18" t="s">
        <v>116</v>
      </c>
      <c r="B78" s="20">
        <v>6937.5</v>
      </c>
    </row>
    <row r="79" spans="1:2" x14ac:dyDescent="0.25">
      <c r="A79" s="18" t="s">
        <v>117</v>
      </c>
      <c r="B79" s="20">
        <v>9045</v>
      </c>
    </row>
    <row r="80" spans="1:2" x14ac:dyDescent="0.25">
      <c r="A80" s="18" t="s">
        <v>118</v>
      </c>
      <c r="B80" s="20">
        <v>65875</v>
      </c>
    </row>
    <row r="81" spans="1:2" x14ac:dyDescent="0.25">
      <c r="A81" s="18" t="s">
        <v>119</v>
      </c>
      <c r="B81" s="20">
        <v>6875</v>
      </c>
    </row>
    <row r="82" spans="1:2" x14ac:dyDescent="0.25">
      <c r="A82" s="18" t="s">
        <v>120</v>
      </c>
      <c r="B82" s="20">
        <v>76500</v>
      </c>
    </row>
    <row r="83" spans="1:2" x14ac:dyDescent="0.25">
      <c r="A83" s="18" t="s">
        <v>121</v>
      </c>
      <c r="B83" s="20">
        <v>81937.5</v>
      </c>
    </row>
    <row r="84" spans="1:2" x14ac:dyDescent="0.25">
      <c r="A84" s="18" t="s">
        <v>122</v>
      </c>
      <c r="B84" s="20">
        <v>53125</v>
      </c>
    </row>
    <row r="85" spans="1:2" x14ac:dyDescent="0.25">
      <c r="A85" s="18" t="s">
        <v>123</v>
      </c>
      <c r="B85" s="20">
        <v>63750</v>
      </c>
    </row>
    <row r="86" spans="1:2" x14ac:dyDescent="0.25">
      <c r="A86" s="18" t="s">
        <v>124</v>
      </c>
      <c r="B86" s="20">
        <v>61625</v>
      </c>
    </row>
    <row r="87" spans="1:2" x14ac:dyDescent="0.25">
      <c r="A87" s="18" t="s">
        <v>125</v>
      </c>
      <c r="B87" s="20">
        <v>23750</v>
      </c>
    </row>
    <row r="88" spans="1:2" x14ac:dyDescent="0.25">
      <c r="A88" s="18" t="s">
        <v>126</v>
      </c>
      <c r="B88" s="20">
        <v>7062.5</v>
      </c>
    </row>
    <row r="89" spans="1:2" x14ac:dyDescent="0.25">
      <c r="A89" s="18" t="s">
        <v>127</v>
      </c>
      <c r="B89" s="20">
        <v>6781.25</v>
      </c>
    </row>
    <row r="90" spans="1:2" x14ac:dyDescent="0.25">
      <c r="A90" s="18" t="s">
        <v>128</v>
      </c>
      <c r="B90" s="20">
        <v>375</v>
      </c>
    </row>
    <row r="91" spans="1:2" x14ac:dyDescent="0.25">
      <c r="A91" s="18" t="s">
        <v>129</v>
      </c>
      <c r="B91" s="20">
        <v>6750</v>
      </c>
    </row>
    <row r="92" spans="1:2" x14ac:dyDescent="0.25">
      <c r="A92" s="18" t="s">
        <v>130</v>
      </c>
      <c r="B92" s="20">
        <v>16625</v>
      </c>
    </row>
    <row r="93" spans="1:2" x14ac:dyDescent="0.25">
      <c r="A93" s="18" t="s">
        <v>131</v>
      </c>
      <c r="B93" s="20">
        <v>74375</v>
      </c>
    </row>
    <row r="94" spans="1:2" x14ac:dyDescent="0.25">
      <c r="A94" s="18" t="s">
        <v>132</v>
      </c>
      <c r="B94" s="20">
        <v>72250</v>
      </c>
    </row>
    <row r="95" spans="1:2" ht="16.5" thickBot="1" x14ac:dyDescent="0.3">
      <c r="A95" s="18" t="s">
        <v>133</v>
      </c>
      <c r="B95" s="21">
        <v>6562.5</v>
      </c>
    </row>
    <row r="96" spans="1:2" ht="16.5" thickTop="1" x14ac:dyDescent="0.25">
      <c r="A96" s="18" t="s">
        <v>32</v>
      </c>
      <c r="B96" s="20">
        <f>SUM(B2:B95)</f>
        <v>2471760</v>
      </c>
    </row>
    <row r="97" spans="1:2" x14ac:dyDescent="0.25">
      <c r="A97" s="18" t="s">
        <v>33</v>
      </c>
      <c r="B97" s="22">
        <f xml:space="preserve"> COUNT(B2:B95)</f>
        <v>94</v>
      </c>
    </row>
    <row r="99" spans="1:2" x14ac:dyDescent="0.25">
      <c r="A99" s="18" t="s">
        <v>34</v>
      </c>
      <c r="B99" s="20">
        <f>B96/B97</f>
        <v>26295.319148936171</v>
      </c>
    </row>
    <row r="101" spans="1:2" x14ac:dyDescent="0.25">
      <c r="A101" s="18" t="s">
        <v>35</v>
      </c>
      <c r="B101" s="20">
        <f>AVERAGE(B2:B95)</f>
        <v>26295.319148936171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/>
  </sheetViews>
  <sheetFormatPr defaultColWidth="8.85546875" defaultRowHeight="15" x14ac:dyDescent="0.2"/>
  <cols>
    <col min="1" max="1" width="9" style="2" bestFit="1" customWidth="1"/>
    <col min="2" max="2" width="14.140625" style="20" bestFit="1" customWidth="1"/>
    <col min="3" max="3" width="8.85546875" style="2"/>
    <col min="4" max="4" width="11.140625" style="2" bestFit="1" customWidth="1"/>
    <col min="5" max="16384" width="8.85546875" style="2"/>
  </cols>
  <sheetData>
    <row r="1" spans="1:2" ht="15.75" x14ac:dyDescent="0.25">
      <c r="A1" s="1" t="s">
        <v>36</v>
      </c>
      <c r="B1" s="19" t="s">
        <v>26</v>
      </c>
    </row>
    <row r="2" spans="1:2" x14ac:dyDescent="0.2">
      <c r="A2" s="2">
        <v>1</v>
      </c>
      <c r="B2" s="20">
        <v>68.75</v>
      </c>
    </row>
    <row r="3" spans="1:2" x14ac:dyDescent="0.2">
      <c r="A3" s="2">
        <v>2</v>
      </c>
      <c r="B3" s="20">
        <v>82.5</v>
      </c>
    </row>
    <row r="4" spans="1:2" x14ac:dyDescent="0.2">
      <c r="A4" s="2">
        <v>3</v>
      </c>
      <c r="B4" s="20">
        <v>375</v>
      </c>
    </row>
    <row r="5" spans="1:2" x14ac:dyDescent="0.2">
      <c r="A5" s="2">
        <v>4</v>
      </c>
      <c r="B5" s="20">
        <v>467.5</v>
      </c>
    </row>
    <row r="6" spans="1:2" x14ac:dyDescent="0.2">
      <c r="A6" s="2">
        <v>5</v>
      </c>
      <c r="B6" s="20">
        <v>525</v>
      </c>
    </row>
    <row r="7" spans="1:2" x14ac:dyDescent="0.2">
      <c r="A7" s="2">
        <v>6</v>
      </c>
      <c r="B7" s="20">
        <v>2700</v>
      </c>
    </row>
    <row r="8" spans="1:2" x14ac:dyDescent="0.2">
      <c r="A8" s="2">
        <v>7</v>
      </c>
      <c r="B8" s="20">
        <v>2940</v>
      </c>
    </row>
    <row r="9" spans="1:2" x14ac:dyDescent="0.2">
      <c r="A9" s="2">
        <v>8</v>
      </c>
      <c r="B9" s="20">
        <v>3062.5</v>
      </c>
    </row>
    <row r="10" spans="1:2" x14ac:dyDescent="0.2">
      <c r="A10" s="2">
        <v>9</v>
      </c>
      <c r="B10" s="20">
        <v>3150</v>
      </c>
    </row>
    <row r="11" spans="1:2" x14ac:dyDescent="0.2">
      <c r="A11" s="2">
        <v>10</v>
      </c>
      <c r="B11" s="20">
        <v>3185.0000000000005</v>
      </c>
    </row>
    <row r="12" spans="1:2" x14ac:dyDescent="0.2">
      <c r="A12" s="2">
        <v>11</v>
      </c>
      <c r="B12" s="20">
        <v>3300</v>
      </c>
    </row>
    <row r="13" spans="1:2" x14ac:dyDescent="0.2">
      <c r="A13" s="2">
        <v>12</v>
      </c>
      <c r="B13" s="20">
        <v>3562.5</v>
      </c>
    </row>
    <row r="14" spans="1:2" x14ac:dyDescent="0.2">
      <c r="A14" s="2">
        <v>13</v>
      </c>
      <c r="B14" s="20">
        <v>3675.0000000000005</v>
      </c>
    </row>
    <row r="15" spans="1:2" x14ac:dyDescent="0.2">
      <c r="A15" s="2">
        <v>14</v>
      </c>
      <c r="B15" s="20">
        <v>3705</v>
      </c>
    </row>
    <row r="16" spans="1:2" x14ac:dyDescent="0.2">
      <c r="A16" s="2">
        <v>15</v>
      </c>
      <c r="B16" s="20">
        <v>3847.5</v>
      </c>
    </row>
    <row r="17" spans="1:2" x14ac:dyDescent="0.2">
      <c r="A17" s="2">
        <v>16</v>
      </c>
      <c r="B17" s="20">
        <v>4425</v>
      </c>
    </row>
    <row r="18" spans="1:2" x14ac:dyDescent="0.2">
      <c r="A18" s="2">
        <v>17</v>
      </c>
      <c r="B18" s="20">
        <v>4562.5</v>
      </c>
    </row>
    <row r="19" spans="1:2" x14ac:dyDescent="0.2">
      <c r="A19" s="2">
        <v>18</v>
      </c>
      <c r="B19" s="20">
        <v>5292.5</v>
      </c>
    </row>
    <row r="20" spans="1:2" x14ac:dyDescent="0.2">
      <c r="A20" s="2">
        <v>19</v>
      </c>
      <c r="B20" s="20">
        <v>5365.5</v>
      </c>
    </row>
    <row r="21" spans="1:2" x14ac:dyDescent="0.2">
      <c r="A21" s="2">
        <v>20</v>
      </c>
      <c r="B21" s="20">
        <v>6075</v>
      </c>
    </row>
    <row r="22" spans="1:2" x14ac:dyDescent="0.2">
      <c r="A22" s="2">
        <v>21</v>
      </c>
      <c r="B22" s="20">
        <v>6125</v>
      </c>
    </row>
    <row r="23" spans="1:2" x14ac:dyDescent="0.2">
      <c r="A23" s="2">
        <v>22</v>
      </c>
      <c r="B23" s="20">
        <v>6277.5</v>
      </c>
    </row>
    <row r="24" spans="1:2" x14ac:dyDescent="0.2">
      <c r="A24" s="2">
        <v>23</v>
      </c>
      <c r="B24" s="23">
        <v>6562.5</v>
      </c>
    </row>
    <row r="25" spans="1:2" x14ac:dyDescent="0.2">
      <c r="A25" s="2">
        <v>24</v>
      </c>
      <c r="B25" s="20">
        <v>6750</v>
      </c>
    </row>
    <row r="26" spans="1:2" x14ac:dyDescent="0.2">
      <c r="A26" s="2">
        <v>25</v>
      </c>
      <c r="B26" s="20">
        <v>6781.25</v>
      </c>
    </row>
    <row r="27" spans="1:2" x14ac:dyDescent="0.2">
      <c r="A27" s="2">
        <v>26</v>
      </c>
      <c r="B27" s="20">
        <v>6875</v>
      </c>
    </row>
    <row r="28" spans="1:2" x14ac:dyDescent="0.2">
      <c r="A28" s="2">
        <v>27</v>
      </c>
      <c r="B28" s="20">
        <v>6937.5</v>
      </c>
    </row>
    <row r="29" spans="1:2" x14ac:dyDescent="0.2">
      <c r="A29" s="2">
        <v>28</v>
      </c>
      <c r="B29" s="20">
        <v>7000</v>
      </c>
    </row>
    <row r="30" spans="1:2" x14ac:dyDescent="0.2">
      <c r="A30" s="2">
        <v>29</v>
      </c>
      <c r="B30" s="20">
        <v>7062.5</v>
      </c>
    </row>
    <row r="31" spans="1:2" x14ac:dyDescent="0.2">
      <c r="A31" s="2">
        <v>30</v>
      </c>
      <c r="B31" s="20">
        <v>7062.5</v>
      </c>
    </row>
    <row r="32" spans="1:2" x14ac:dyDescent="0.2">
      <c r="A32" s="2">
        <v>31</v>
      </c>
      <c r="B32" s="20">
        <v>7245.25</v>
      </c>
    </row>
    <row r="33" spans="1:4" x14ac:dyDescent="0.2">
      <c r="A33" s="2">
        <v>32</v>
      </c>
      <c r="B33" s="20">
        <v>7425</v>
      </c>
    </row>
    <row r="34" spans="1:4" x14ac:dyDescent="0.2">
      <c r="A34" s="2">
        <v>33</v>
      </c>
      <c r="B34" s="20">
        <v>7425</v>
      </c>
    </row>
    <row r="35" spans="1:4" x14ac:dyDescent="0.2">
      <c r="A35" s="2">
        <v>34</v>
      </c>
      <c r="B35" s="20">
        <v>7837.5</v>
      </c>
    </row>
    <row r="36" spans="1:4" x14ac:dyDescent="0.2">
      <c r="A36" s="2">
        <v>35</v>
      </c>
      <c r="B36" s="20">
        <v>8002.5</v>
      </c>
    </row>
    <row r="37" spans="1:4" x14ac:dyDescent="0.2">
      <c r="A37" s="2">
        <v>36</v>
      </c>
      <c r="B37" s="20">
        <v>9000</v>
      </c>
    </row>
    <row r="38" spans="1:4" x14ac:dyDescent="0.2">
      <c r="A38" s="2">
        <v>37</v>
      </c>
      <c r="B38" s="20">
        <v>9045</v>
      </c>
    </row>
    <row r="39" spans="1:4" x14ac:dyDescent="0.2">
      <c r="A39" s="2">
        <v>38</v>
      </c>
      <c r="B39" s="20">
        <v>9547.5</v>
      </c>
    </row>
    <row r="40" spans="1:4" x14ac:dyDescent="0.2">
      <c r="A40" s="2">
        <v>39</v>
      </c>
      <c r="B40" s="20">
        <v>9975</v>
      </c>
    </row>
    <row r="41" spans="1:4" x14ac:dyDescent="0.2">
      <c r="A41" s="2">
        <v>40</v>
      </c>
      <c r="B41" s="20">
        <v>10050</v>
      </c>
    </row>
    <row r="42" spans="1:4" x14ac:dyDescent="0.2">
      <c r="A42" s="2">
        <v>41</v>
      </c>
      <c r="B42" s="20">
        <v>10450</v>
      </c>
    </row>
    <row r="43" spans="1:4" x14ac:dyDescent="0.2">
      <c r="A43" s="2">
        <v>42</v>
      </c>
      <c r="B43" s="20">
        <v>10800</v>
      </c>
    </row>
    <row r="44" spans="1:4" x14ac:dyDescent="0.2">
      <c r="A44" s="2">
        <v>43</v>
      </c>
      <c r="B44" s="20">
        <v>13650</v>
      </c>
    </row>
    <row r="45" spans="1:4" x14ac:dyDescent="0.2">
      <c r="A45" s="2">
        <v>44</v>
      </c>
      <c r="B45" s="20">
        <v>14910</v>
      </c>
    </row>
    <row r="46" spans="1:4" x14ac:dyDescent="0.2">
      <c r="A46" s="2">
        <v>45</v>
      </c>
      <c r="B46" s="20">
        <v>14910</v>
      </c>
    </row>
    <row r="47" spans="1:4" ht="15.75" x14ac:dyDescent="0.25">
      <c r="A47" s="2">
        <v>46</v>
      </c>
      <c r="B47" s="20">
        <v>15087.5</v>
      </c>
      <c r="C47" s="1"/>
    </row>
    <row r="48" spans="1:4" x14ac:dyDescent="0.2">
      <c r="A48" s="24">
        <v>47</v>
      </c>
      <c r="B48" s="25">
        <v>15562.5</v>
      </c>
      <c r="D48" s="20">
        <f>B48</f>
        <v>15562.5</v>
      </c>
    </row>
    <row r="49" spans="1:4" ht="15.75" thickBot="1" x14ac:dyDescent="0.25">
      <c r="A49" s="24">
        <v>48</v>
      </c>
      <c r="B49" s="25">
        <v>15750</v>
      </c>
      <c r="D49" s="21">
        <f>B49</f>
        <v>15750</v>
      </c>
    </row>
    <row r="50" spans="1:4" ht="16.5" thickTop="1" x14ac:dyDescent="0.25">
      <c r="A50" s="2">
        <v>49</v>
      </c>
      <c r="B50" s="20">
        <v>15937.5</v>
      </c>
      <c r="C50" s="26" t="s">
        <v>38</v>
      </c>
      <c r="D50" s="20">
        <f>AVERAGE(D48:D49)</f>
        <v>15656.25</v>
      </c>
    </row>
    <row r="51" spans="1:4" x14ac:dyDescent="0.2">
      <c r="A51" s="2">
        <v>50</v>
      </c>
      <c r="B51" s="20">
        <v>16276.75</v>
      </c>
    </row>
    <row r="52" spans="1:4" x14ac:dyDescent="0.2">
      <c r="A52" s="2">
        <v>51</v>
      </c>
      <c r="B52" s="20">
        <v>16330</v>
      </c>
    </row>
    <row r="53" spans="1:4" x14ac:dyDescent="0.2">
      <c r="A53" s="2">
        <v>52</v>
      </c>
      <c r="B53" s="20">
        <v>16625</v>
      </c>
    </row>
    <row r="54" spans="1:4" x14ac:dyDescent="0.2">
      <c r="A54" s="2">
        <v>53</v>
      </c>
      <c r="B54" s="20">
        <v>17040</v>
      </c>
    </row>
    <row r="55" spans="1:4" x14ac:dyDescent="0.2">
      <c r="A55" s="2">
        <v>54</v>
      </c>
      <c r="B55" s="20">
        <v>17250</v>
      </c>
    </row>
    <row r="56" spans="1:4" x14ac:dyDescent="0.2">
      <c r="A56" s="2">
        <v>55</v>
      </c>
      <c r="B56" s="20">
        <v>17775</v>
      </c>
    </row>
    <row r="57" spans="1:4" x14ac:dyDescent="0.2">
      <c r="A57" s="2">
        <v>56</v>
      </c>
      <c r="B57" s="20">
        <v>18150</v>
      </c>
    </row>
    <row r="58" spans="1:4" x14ac:dyDescent="0.2">
      <c r="A58" s="2">
        <v>57</v>
      </c>
      <c r="B58" s="20">
        <v>19250</v>
      </c>
    </row>
    <row r="59" spans="1:4" x14ac:dyDescent="0.2">
      <c r="A59" s="2">
        <v>58</v>
      </c>
      <c r="B59" s="20">
        <v>19910</v>
      </c>
    </row>
    <row r="60" spans="1:4" x14ac:dyDescent="0.2">
      <c r="A60" s="2">
        <v>59</v>
      </c>
      <c r="B60" s="20">
        <v>21450</v>
      </c>
    </row>
    <row r="61" spans="1:4" x14ac:dyDescent="0.2">
      <c r="A61" s="2">
        <v>60</v>
      </c>
      <c r="B61" s="20">
        <v>22575</v>
      </c>
    </row>
    <row r="62" spans="1:4" x14ac:dyDescent="0.2">
      <c r="A62" s="2">
        <v>61</v>
      </c>
      <c r="B62" s="20">
        <v>23400</v>
      </c>
    </row>
    <row r="63" spans="1:4" x14ac:dyDescent="0.2">
      <c r="A63" s="2">
        <v>62</v>
      </c>
      <c r="B63" s="20">
        <v>23625</v>
      </c>
    </row>
    <row r="64" spans="1:4" x14ac:dyDescent="0.2">
      <c r="A64" s="2">
        <v>63</v>
      </c>
      <c r="B64" s="20">
        <v>23625</v>
      </c>
    </row>
    <row r="65" spans="1:2" x14ac:dyDescent="0.2">
      <c r="A65" s="2">
        <v>64</v>
      </c>
      <c r="B65" s="20">
        <v>23750</v>
      </c>
    </row>
    <row r="66" spans="1:2" x14ac:dyDescent="0.2">
      <c r="A66" s="2">
        <v>65</v>
      </c>
      <c r="B66" s="20">
        <v>24150</v>
      </c>
    </row>
    <row r="67" spans="1:2" x14ac:dyDescent="0.2">
      <c r="A67" s="2">
        <v>66</v>
      </c>
      <c r="B67" s="20">
        <v>25000</v>
      </c>
    </row>
    <row r="68" spans="1:2" x14ac:dyDescent="0.2">
      <c r="A68" s="2">
        <v>67</v>
      </c>
      <c r="B68" s="20">
        <v>25350</v>
      </c>
    </row>
    <row r="69" spans="1:2" x14ac:dyDescent="0.2">
      <c r="A69" s="2">
        <v>68</v>
      </c>
      <c r="B69" s="20">
        <v>25900</v>
      </c>
    </row>
    <row r="70" spans="1:2" x14ac:dyDescent="0.2">
      <c r="A70" s="2">
        <v>69</v>
      </c>
      <c r="B70" s="20">
        <v>26250</v>
      </c>
    </row>
    <row r="71" spans="1:2" x14ac:dyDescent="0.2">
      <c r="A71" s="2">
        <v>70</v>
      </c>
      <c r="B71" s="20">
        <v>27125</v>
      </c>
    </row>
    <row r="72" spans="1:2" x14ac:dyDescent="0.2">
      <c r="A72" s="2">
        <v>71</v>
      </c>
      <c r="B72" s="20">
        <v>27750</v>
      </c>
    </row>
    <row r="73" spans="1:2" x14ac:dyDescent="0.2">
      <c r="A73" s="2">
        <v>72</v>
      </c>
      <c r="B73" s="20">
        <v>30625</v>
      </c>
    </row>
    <row r="74" spans="1:2" x14ac:dyDescent="0.2">
      <c r="A74" s="2">
        <v>73</v>
      </c>
      <c r="B74" s="20">
        <v>38250</v>
      </c>
    </row>
    <row r="75" spans="1:2" x14ac:dyDescent="0.2">
      <c r="A75" s="2">
        <v>74</v>
      </c>
      <c r="B75" s="20">
        <v>42000</v>
      </c>
    </row>
    <row r="76" spans="1:2" x14ac:dyDescent="0.2">
      <c r="A76" s="2">
        <v>75</v>
      </c>
      <c r="B76" s="20">
        <v>42500</v>
      </c>
    </row>
    <row r="77" spans="1:2" x14ac:dyDescent="0.2">
      <c r="A77" s="2">
        <v>76</v>
      </c>
      <c r="B77" s="20">
        <v>44625</v>
      </c>
    </row>
    <row r="78" spans="1:2" x14ac:dyDescent="0.2">
      <c r="A78" s="2">
        <v>77</v>
      </c>
      <c r="B78" s="20">
        <v>53125</v>
      </c>
    </row>
    <row r="79" spans="1:2" x14ac:dyDescent="0.2">
      <c r="A79" s="2">
        <v>78</v>
      </c>
      <c r="B79" s="20">
        <v>58800</v>
      </c>
    </row>
    <row r="80" spans="1:2" x14ac:dyDescent="0.2">
      <c r="A80" s="2">
        <v>79</v>
      </c>
      <c r="B80" s="20">
        <v>61625</v>
      </c>
    </row>
    <row r="81" spans="1:2" x14ac:dyDescent="0.2">
      <c r="A81" s="2">
        <v>80</v>
      </c>
      <c r="B81" s="20">
        <v>63000</v>
      </c>
    </row>
    <row r="82" spans="1:2" x14ac:dyDescent="0.2">
      <c r="A82" s="2">
        <v>81</v>
      </c>
      <c r="B82" s="20">
        <v>63750</v>
      </c>
    </row>
    <row r="83" spans="1:2" x14ac:dyDescent="0.2">
      <c r="A83" s="2">
        <v>82</v>
      </c>
      <c r="B83" s="20">
        <v>64500</v>
      </c>
    </row>
    <row r="84" spans="1:2" x14ac:dyDescent="0.2">
      <c r="A84" s="2">
        <v>83</v>
      </c>
      <c r="B84" s="20">
        <v>65875</v>
      </c>
    </row>
    <row r="85" spans="1:2" x14ac:dyDescent="0.2">
      <c r="A85" s="2">
        <v>84</v>
      </c>
      <c r="B85" s="20">
        <v>72250</v>
      </c>
    </row>
    <row r="86" spans="1:2" x14ac:dyDescent="0.2">
      <c r="A86" s="2">
        <v>85</v>
      </c>
      <c r="B86" s="20">
        <v>74375</v>
      </c>
    </row>
    <row r="87" spans="1:2" x14ac:dyDescent="0.2">
      <c r="A87" s="2">
        <v>86</v>
      </c>
      <c r="B87" s="20">
        <v>76500</v>
      </c>
    </row>
    <row r="88" spans="1:2" x14ac:dyDescent="0.2">
      <c r="A88" s="2">
        <v>87</v>
      </c>
      <c r="B88" s="20">
        <v>77400</v>
      </c>
    </row>
    <row r="89" spans="1:2" x14ac:dyDescent="0.2">
      <c r="A89" s="2">
        <v>88</v>
      </c>
      <c r="B89" s="20">
        <v>81937.5</v>
      </c>
    </row>
    <row r="90" spans="1:2" x14ac:dyDescent="0.2">
      <c r="A90" s="2">
        <v>89</v>
      </c>
      <c r="B90" s="20">
        <v>82875</v>
      </c>
    </row>
    <row r="91" spans="1:2" x14ac:dyDescent="0.2">
      <c r="A91" s="2">
        <v>90</v>
      </c>
      <c r="B91" s="20">
        <v>96750</v>
      </c>
    </row>
    <row r="92" spans="1:2" x14ac:dyDescent="0.2">
      <c r="A92" s="2">
        <v>91</v>
      </c>
      <c r="B92" s="20">
        <v>103530</v>
      </c>
    </row>
    <row r="93" spans="1:2" x14ac:dyDescent="0.2">
      <c r="A93" s="2">
        <v>92</v>
      </c>
      <c r="B93" s="20">
        <v>110000</v>
      </c>
    </row>
    <row r="94" spans="1:2" x14ac:dyDescent="0.2">
      <c r="A94" s="2">
        <v>93</v>
      </c>
      <c r="B94" s="23">
        <v>121000</v>
      </c>
    </row>
    <row r="95" spans="1:2" ht="15.75" thickBot="1" x14ac:dyDescent="0.25">
      <c r="A95" s="2">
        <v>94</v>
      </c>
      <c r="B95" s="21">
        <v>127500</v>
      </c>
    </row>
    <row r="96" spans="1:2" ht="15.75" thickTop="1" x14ac:dyDescent="0.2"/>
    <row r="97" spans="2:2" x14ac:dyDescent="0.2">
      <c r="B97" s="22"/>
    </row>
  </sheetData>
  <sortState ref="B2:B95">
    <sortCondition ref="B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/>
  </sheetViews>
  <sheetFormatPr defaultColWidth="8.85546875" defaultRowHeight="15.75" x14ac:dyDescent="0.25"/>
  <cols>
    <col min="1" max="1" width="24.140625" style="18" bestFit="1" customWidth="1"/>
    <col min="2" max="2" width="14.85546875" style="20" bestFit="1" customWidth="1"/>
    <col min="3" max="3" width="26.5703125" style="29" bestFit="1" customWidth="1"/>
    <col min="4" max="4" width="18.85546875" style="29" bestFit="1" customWidth="1"/>
    <col min="5" max="16384" width="8.85546875" style="2"/>
  </cols>
  <sheetData>
    <row r="1" spans="1:4" x14ac:dyDescent="0.25">
      <c r="A1" s="18" t="s">
        <v>39</v>
      </c>
      <c r="B1" s="19" t="s">
        <v>26</v>
      </c>
      <c r="C1" s="18" t="s">
        <v>134</v>
      </c>
      <c r="D1" s="18" t="s">
        <v>135</v>
      </c>
    </row>
    <row r="2" spans="1:4" x14ac:dyDescent="0.25">
      <c r="A2" s="18" t="s">
        <v>40</v>
      </c>
      <c r="B2" s="20">
        <v>2700</v>
      </c>
      <c r="C2" s="27">
        <f>B2-$B$99</f>
        <v>-23595.319148936171</v>
      </c>
      <c r="D2" s="27">
        <f>C2^2</f>
        <v>556739085.74015391</v>
      </c>
    </row>
    <row r="3" spans="1:4" x14ac:dyDescent="0.25">
      <c r="A3" s="18" t="s">
        <v>41</v>
      </c>
      <c r="B3" s="20">
        <v>19250</v>
      </c>
      <c r="C3" s="27">
        <f t="shared" ref="C3:C66" si="0">B3-$B$99</f>
        <v>-7045.3191489361707</v>
      </c>
      <c r="D3" s="27">
        <f t="shared" ref="D3:D66" si="1">C3^2</f>
        <v>49636521.910366692</v>
      </c>
    </row>
    <row r="4" spans="1:4" x14ac:dyDescent="0.25">
      <c r="A4" s="18" t="s">
        <v>42</v>
      </c>
      <c r="B4" s="20">
        <v>15937.5</v>
      </c>
      <c r="C4" s="27">
        <f t="shared" si="0"/>
        <v>-10357.819148936171</v>
      </c>
      <c r="D4" s="27">
        <f t="shared" si="1"/>
        <v>107284417.52206881</v>
      </c>
    </row>
    <row r="5" spans="1:4" x14ac:dyDescent="0.25">
      <c r="A5" s="18" t="s">
        <v>43</v>
      </c>
      <c r="B5" s="20">
        <v>18150</v>
      </c>
      <c r="C5" s="27">
        <f t="shared" si="0"/>
        <v>-8145.3191489361707</v>
      </c>
      <c r="D5" s="27">
        <f t="shared" si="1"/>
        <v>66346224.038026266</v>
      </c>
    </row>
    <row r="6" spans="1:4" x14ac:dyDescent="0.25">
      <c r="A6" s="18" t="s">
        <v>44</v>
      </c>
      <c r="B6" s="20">
        <v>23400</v>
      </c>
      <c r="C6" s="27">
        <f t="shared" si="0"/>
        <v>-2895.3191489361707</v>
      </c>
      <c r="D6" s="27">
        <f t="shared" si="1"/>
        <v>8382872.9741964713</v>
      </c>
    </row>
    <row r="7" spans="1:4" x14ac:dyDescent="0.25">
      <c r="A7" s="18" t="s">
        <v>45</v>
      </c>
      <c r="B7" s="20">
        <v>15750</v>
      </c>
      <c r="C7" s="27">
        <f t="shared" si="0"/>
        <v>-10545.319148936171</v>
      </c>
      <c r="D7" s="27">
        <f t="shared" si="1"/>
        <v>111203755.95291989</v>
      </c>
    </row>
    <row r="8" spans="1:4" x14ac:dyDescent="0.25">
      <c r="A8" s="18" t="s">
        <v>46</v>
      </c>
      <c r="B8" s="20">
        <v>17775</v>
      </c>
      <c r="C8" s="27">
        <f t="shared" si="0"/>
        <v>-8520.3191489361707</v>
      </c>
      <c r="D8" s="27">
        <f t="shared" si="1"/>
        <v>72595838.399728388</v>
      </c>
    </row>
    <row r="9" spans="1:4" x14ac:dyDescent="0.25">
      <c r="A9" s="18" t="s">
        <v>47</v>
      </c>
      <c r="B9" s="20">
        <v>127500</v>
      </c>
      <c r="C9" s="27">
        <f t="shared" si="0"/>
        <v>101204.68085106384</v>
      </c>
      <c r="D9" s="27">
        <f t="shared" si="1"/>
        <v>10242387426.165688</v>
      </c>
    </row>
    <row r="10" spans="1:4" x14ac:dyDescent="0.25">
      <c r="A10" s="18" t="s">
        <v>48</v>
      </c>
      <c r="B10" s="20">
        <v>42500</v>
      </c>
      <c r="C10" s="27">
        <f t="shared" si="0"/>
        <v>16204.680851063829</v>
      </c>
      <c r="D10" s="27">
        <f t="shared" si="1"/>
        <v>262591681.48483476</v>
      </c>
    </row>
    <row r="11" spans="1:4" x14ac:dyDescent="0.25">
      <c r="A11" s="18" t="s">
        <v>49</v>
      </c>
      <c r="B11" s="20">
        <v>103530</v>
      </c>
      <c r="C11" s="27">
        <f t="shared" si="0"/>
        <v>77234.680851063837</v>
      </c>
      <c r="D11" s="27">
        <f t="shared" si="1"/>
        <v>5965195926.1656866</v>
      </c>
    </row>
    <row r="12" spans="1:4" x14ac:dyDescent="0.25">
      <c r="A12" s="18" t="s">
        <v>50</v>
      </c>
      <c r="B12" s="20">
        <v>6075</v>
      </c>
      <c r="C12" s="27">
        <f t="shared" si="0"/>
        <v>-20220.319148936171</v>
      </c>
      <c r="D12" s="27">
        <f t="shared" si="1"/>
        <v>408861306.48483479</v>
      </c>
    </row>
    <row r="13" spans="1:4" x14ac:dyDescent="0.25">
      <c r="A13" s="18" t="s">
        <v>51</v>
      </c>
      <c r="B13" s="20">
        <v>3300</v>
      </c>
      <c r="C13" s="27">
        <f t="shared" si="0"/>
        <v>-22995.319148936171</v>
      </c>
      <c r="D13" s="27">
        <f t="shared" si="1"/>
        <v>528784702.76143056</v>
      </c>
    </row>
    <row r="14" spans="1:4" x14ac:dyDescent="0.25">
      <c r="A14" s="18" t="s">
        <v>52</v>
      </c>
      <c r="B14" s="20">
        <v>6277.5</v>
      </c>
      <c r="C14" s="27">
        <f t="shared" si="0"/>
        <v>-20017.819148936171</v>
      </c>
      <c r="D14" s="27">
        <f t="shared" si="1"/>
        <v>400713083.47951561</v>
      </c>
    </row>
    <row r="15" spans="1:4" x14ac:dyDescent="0.25">
      <c r="A15" s="18" t="s">
        <v>53</v>
      </c>
      <c r="B15" s="20">
        <v>17250</v>
      </c>
      <c r="C15" s="27">
        <f t="shared" si="0"/>
        <v>-9045.3191489361707</v>
      </c>
      <c r="D15" s="27">
        <f t="shared" si="1"/>
        <v>81817798.506111369</v>
      </c>
    </row>
    <row r="16" spans="1:4" x14ac:dyDescent="0.25">
      <c r="A16" s="18" t="s">
        <v>54</v>
      </c>
      <c r="B16" s="20">
        <v>3150</v>
      </c>
      <c r="C16" s="27">
        <f t="shared" si="0"/>
        <v>-23145.319148936171</v>
      </c>
      <c r="D16" s="27">
        <f t="shared" si="1"/>
        <v>535705798.50611138</v>
      </c>
    </row>
    <row r="17" spans="1:4" x14ac:dyDescent="0.25">
      <c r="A17" s="18" t="s">
        <v>55</v>
      </c>
      <c r="B17" s="20">
        <v>14910</v>
      </c>
      <c r="C17" s="27">
        <f t="shared" si="0"/>
        <v>-11385.319148936171</v>
      </c>
      <c r="D17" s="27">
        <f t="shared" si="1"/>
        <v>129625492.12313265</v>
      </c>
    </row>
    <row r="18" spans="1:4" x14ac:dyDescent="0.25">
      <c r="A18" s="18" t="s">
        <v>56</v>
      </c>
      <c r="B18" s="20">
        <v>4562.5</v>
      </c>
      <c r="C18" s="27">
        <f t="shared" si="0"/>
        <v>-21732.819148936171</v>
      </c>
      <c r="D18" s="27">
        <f t="shared" si="1"/>
        <v>472315428.16036671</v>
      </c>
    </row>
    <row r="19" spans="1:4" x14ac:dyDescent="0.25">
      <c r="A19" s="18" t="s">
        <v>57</v>
      </c>
      <c r="B19" s="20">
        <v>5292.5</v>
      </c>
      <c r="C19" s="27">
        <f t="shared" si="0"/>
        <v>-21002.819148936171</v>
      </c>
      <c r="D19" s="27">
        <f t="shared" si="1"/>
        <v>441118412.2029199</v>
      </c>
    </row>
    <row r="20" spans="1:4" x14ac:dyDescent="0.25">
      <c r="A20" s="18" t="s">
        <v>58</v>
      </c>
      <c r="B20" s="20">
        <v>121000</v>
      </c>
      <c r="C20" s="27">
        <f t="shared" si="0"/>
        <v>94704.680851063837</v>
      </c>
      <c r="D20" s="27">
        <f t="shared" si="1"/>
        <v>8968976575.1018581</v>
      </c>
    </row>
    <row r="21" spans="1:4" x14ac:dyDescent="0.25">
      <c r="A21" s="18" t="s">
        <v>59</v>
      </c>
      <c r="B21" s="20">
        <v>5365.5</v>
      </c>
      <c r="C21" s="27">
        <f t="shared" si="0"/>
        <v>-20929.819148936171</v>
      </c>
      <c r="D21" s="27">
        <f t="shared" si="1"/>
        <v>438057329.60717523</v>
      </c>
    </row>
    <row r="22" spans="1:4" x14ac:dyDescent="0.25">
      <c r="A22" s="18" t="s">
        <v>60</v>
      </c>
      <c r="B22" s="20">
        <v>7245.25</v>
      </c>
      <c r="C22" s="27">
        <f t="shared" si="0"/>
        <v>-19050.069148936171</v>
      </c>
      <c r="D22" s="27">
        <f t="shared" si="1"/>
        <v>362905134.57924968</v>
      </c>
    </row>
    <row r="23" spans="1:4" x14ac:dyDescent="0.25">
      <c r="A23" s="18" t="s">
        <v>61</v>
      </c>
      <c r="B23" s="20">
        <v>15087.5</v>
      </c>
      <c r="C23" s="27">
        <f t="shared" si="0"/>
        <v>-11207.819148936171</v>
      </c>
      <c r="D23" s="27">
        <f t="shared" si="1"/>
        <v>125615210.07526031</v>
      </c>
    </row>
    <row r="24" spans="1:4" x14ac:dyDescent="0.25">
      <c r="A24" s="18" t="s">
        <v>62</v>
      </c>
      <c r="B24" s="20">
        <v>14910</v>
      </c>
      <c r="C24" s="27">
        <f t="shared" si="0"/>
        <v>-11385.319148936171</v>
      </c>
      <c r="D24" s="27">
        <f t="shared" si="1"/>
        <v>129625492.12313265</v>
      </c>
    </row>
    <row r="25" spans="1:4" x14ac:dyDescent="0.25">
      <c r="A25" s="18" t="s">
        <v>63</v>
      </c>
      <c r="B25" s="20">
        <v>16330</v>
      </c>
      <c r="C25" s="27">
        <f t="shared" si="0"/>
        <v>-9965.3191489361707</v>
      </c>
      <c r="D25" s="27">
        <f t="shared" si="1"/>
        <v>99307585.740153924</v>
      </c>
    </row>
    <row r="26" spans="1:4" x14ac:dyDescent="0.25">
      <c r="A26" s="18" t="s">
        <v>64</v>
      </c>
      <c r="B26" s="20">
        <v>110000</v>
      </c>
      <c r="C26" s="27">
        <f t="shared" si="0"/>
        <v>83704.680851063837</v>
      </c>
      <c r="D26" s="27">
        <f t="shared" si="1"/>
        <v>7006473596.3784533</v>
      </c>
    </row>
    <row r="27" spans="1:4" x14ac:dyDescent="0.25">
      <c r="A27" s="18" t="s">
        <v>65</v>
      </c>
      <c r="B27" s="20">
        <v>13650</v>
      </c>
      <c r="C27" s="27">
        <f t="shared" si="0"/>
        <v>-12645.319148936171</v>
      </c>
      <c r="D27" s="27">
        <f t="shared" si="1"/>
        <v>159904096.37845179</v>
      </c>
    </row>
    <row r="28" spans="1:4" x14ac:dyDescent="0.25">
      <c r="A28" s="18" t="s">
        <v>66</v>
      </c>
      <c r="B28" s="20">
        <v>63000</v>
      </c>
      <c r="C28" s="27">
        <f t="shared" si="0"/>
        <v>36704.680851063829</v>
      </c>
      <c r="D28" s="27">
        <f t="shared" si="1"/>
        <v>1347233596.3784518</v>
      </c>
    </row>
    <row r="29" spans="1:4" x14ac:dyDescent="0.25">
      <c r="A29" s="18" t="s">
        <v>67</v>
      </c>
      <c r="B29" s="20">
        <v>3562.5</v>
      </c>
      <c r="C29" s="27">
        <f t="shared" si="0"/>
        <v>-22732.819148936171</v>
      </c>
      <c r="D29" s="27">
        <f t="shared" si="1"/>
        <v>516781066.45823902</v>
      </c>
    </row>
    <row r="30" spans="1:4" x14ac:dyDescent="0.25">
      <c r="A30" s="18" t="s">
        <v>68</v>
      </c>
      <c r="B30" s="20">
        <v>9547.5</v>
      </c>
      <c r="C30" s="27">
        <f t="shared" si="0"/>
        <v>-16747.819148936171</v>
      </c>
      <c r="D30" s="27">
        <f t="shared" si="1"/>
        <v>280489446.24547309</v>
      </c>
    </row>
    <row r="31" spans="1:4" x14ac:dyDescent="0.25">
      <c r="A31" s="18" t="s">
        <v>69</v>
      </c>
      <c r="B31" s="20">
        <v>525</v>
      </c>
      <c r="C31" s="27">
        <f t="shared" si="0"/>
        <v>-25770.319148936171</v>
      </c>
      <c r="D31" s="27">
        <f t="shared" si="1"/>
        <v>664109349.03802633</v>
      </c>
    </row>
    <row r="32" spans="1:4" x14ac:dyDescent="0.25">
      <c r="A32" s="18" t="s">
        <v>70</v>
      </c>
      <c r="B32" s="20">
        <v>3847.5</v>
      </c>
      <c r="C32" s="27">
        <f t="shared" si="0"/>
        <v>-22447.819148936171</v>
      </c>
      <c r="D32" s="27">
        <f t="shared" si="1"/>
        <v>503904584.54334545</v>
      </c>
    </row>
    <row r="33" spans="1:4" x14ac:dyDescent="0.25">
      <c r="A33" s="18" t="s">
        <v>71</v>
      </c>
      <c r="B33" s="20">
        <v>17040</v>
      </c>
      <c r="C33" s="27">
        <f t="shared" si="0"/>
        <v>-9255.3191489361707</v>
      </c>
      <c r="D33" s="27">
        <f t="shared" si="1"/>
        <v>85660932.54866457</v>
      </c>
    </row>
    <row r="34" spans="1:4" x14ac:dyDescent="0.25">
      <c r="A34" s="18" t="s">
        <v>72</v>
      </c>
      <c r="B34" s="20">
        <v>16276.75</v>
      </c>
      <c r="C34" s="27">
        <f t="shared" si="0"/>
        <v>-10018.569148936171</v>
      </c>
      <c r="D34" s="27">
        <f t="shared" si="1"/>
        <v>100371727.79201563</v>
      </c>
    </row>
    <row r="35" spans="1:4" x14ac:dyDescent="0.25">
      <c r="A35" s="18" t="s">
        <v>73</v>
      </c>
      <c r="B35" s="20">
        <v>3705</v>
      </c>
      <c r="C35" s="27">
        <f t="shared" si="0"/>
        <v>-22590.319148936171</v>
      </c>
      <c r="D35" s="27">
        <f t="shared" si="1"/>
        <v>510322519.25079221</v>
      </c>
    </row>
    <row r="36" spans="1:4" x14ac:dyDescent="0.25">
      <c r="A36" s="18" t="s">
        <v>74</v>
      </c>
      <c r="B36" s="20">
        <v>10050</v>
      </c>
      <c r="C36" s="27">
        <f t="shared" si="0"/>
        <v>-16245.319148936171</v>
      </c>
      <c r="D36" s="27">
        <f t="shared" si="1"/>
        <v>263910394.25079224</v>
      </c>
    </row>
    <row r="37" spans="1:4" x14ac:dyDescent="0.25">
      <c r="A37" s="18" t="s">
        <v>75</v>
      </c>
      <c r="B37" s="20">
        <v>467.5</v>
      </c>
      <c r="C37" s="27">
        <f t="shared" si="0"/>
        <v>-25827.819148936171</v>
      </c>
      <c r="D37" s="27">
        <f t="shared" si="1"/>
        <v>667076241.99015391</v>
      </c>
    </row>
    <row r="38" spans="1:4" x14ac:dyDescent="0.25">
      <c r="A38" s="18" t="s">
        <v>76</v>
      </c>
      <c r="B38" s="20">
        <v>82.5</v>
      </c>
      <c r="C38" s="27">
        <f t="shared" si="0"/>
        <v>-26212.819148936171</v>
      </c>
      <c r="D38" s="27">
        <f t="shared" si="1"/>
        <v>687111887.73483479</v>
      </c>
    </row>
    <row r="39" spans="1:4" x14ac:dyDescent="0.25">
      <c r="A39" s="18" t="s">
        <v>77</v>
      </c>
      <c r="B39" s="20">
        <v>4425</v>
      </c>
      <c r="C39" s="27">
        <f t="shared" si="0"/>
        <v>-21870.319148936171</v>
      </c>
      <c r="D39" s="27">
        <f t="shared" si="1"/>
        <v>478310859.67632413</v>
      </c>
    </row>
    <row r="40" spans="1:4" x14ac:dyDescent="0.25">
      <c r="A40" s="18" t="s">
        <v>78</v>
      </c>
      <c r="B40" s="20">
        <v>38250</v>
      </c>
      <c r="C40" s="27">
        <f t="shared" si="0"/>
        <v>11954.680851063829</v>
      </c>
      <c r="D40" s="27">
        <f t="shared" si="1"/>
        <v>142914394.25079221</v>
      </c>
    </row>
    <row r="41" spans="1:4" x14ac:dyDescent="0.25">
      <c r="A41" s="18" t="s">
        <v>79</v>
      </c>
      <c r="B41" s="20">
        <v>15562.5</v>
      </c>
      <c r="C41" s="27">
        <f t="shared" si="0"/>
        <v>-10732.819148936171</v>
      </c>
      <c r="D41" s="27">
        <f t="shared" si="1"/>
        <v>115193406.88377094</v>
      </c>
    </row>
    <row r="42" spans="1:4" x14ac:dyDescent="0.25">
      <c r="A42" s="18" t="s">
        <v>80</v>
      </c>
      <c r="B42" s="20">
        <v>27750</v>
      </c>
      <c r="C42" s="27">
        <f t="shared" si="0"/>
        <v>1454.6808510638293</v>
      </c>
      <c r="D42" s="27">
        <f t="shared" si="1"/>
        <v>2116096.3784517869</v>
      </c>
    </row>
    <row r="43" spans="1:4" x14ac:dyDescent="0.25">
      <c r="A43" s="18" t="s">
        <v>81</v>
      </c>
      <c r="B43" s="20">
        <v>25900</v>
      </c>
      <c r="C43" s="27">
        <f t="shared" si="0"/>
        <v>-395.31914893617068</v>
      </c>
      <c r="D43" s="27">
        <f t="shared" si="1"/>
        <v>156277.2295156183</v>
      </c>
    </row>
    <row r="44" spans="1:4" x14ac:dyDescent="0.25">
      <c r="A44" s="18" t="s">
        <v>82</v>
      </c>
      <c r="B44" s="20">
        <v>44625</v>
      </c>
      <c r="C44" s="27">
        <f t="shared" si="0"/>
        <v>18329.680851063829</v>
      </c>
      <c r="D44" s="27">
        <f t="shared" si="1"/>
        <v>335977200.10185605</v>
      </c>
    </row>
    <row r="45" spans="1:4" x14ac:dyDescent="0.25">
      <c r="A45" s="18" t="s">
        <v>83</v>
      </c>
      <c r="B45" s="20">
        <v>7425</v>
      </c>
      <c r="C45" s="27">
        <f t="shared" si="0"/>
        <v>-18870.319148936171</v>
      </c>
      <c r="D45" s="27">
        <f t="shared" si="1"/>
        <v>356088944.7827071</v>
      </c>
    </row>
    <row r="46" spans="1:4" x14ac:dyDescent="0.25">
      <c r="A46" s="18" t="s">
        <v>84</v>
      </c>
      <c r="B46" s="20">
        <v>9000</v>
      </c>
      <c r="C46" s="27">
        <f t="shared" si="0"/>
        <v>-17295.319148936171</v>
      </c>
      <c r="D46" s="27">
        <f t="shared" si="1"/>
        <v>299128064.4635582</v>
      </c>
    </row>
    <row r="47" spans="1:4" x14ac:dyDescent="0.25">
      <c r="A47" s="18" t="s">
        <v>85</v>
      </c>
      <c r="B47" s="20">
        <v>10800</v>
      </c>
      <c r="C47" s="27">
        <f t="shared" si="0"/>
        <v>-15495.319148936171</v>
      </c>
      <c r="D47" s="27">
        <f t="shared" si="1"/>
        <v>240104915.52738798</v>
      </c>
    </row>
    <row r="48" spans="1:4" x14ac:dyDescent="0.25">
      <c r="A48" s="18" t="s">
        <v>86</v>
      </c>
      <c r="B48" s="20">
        <v>58800</v>
      </c>
      <c r="C48" s="27">
        <f t="shared" si="0"/>
        <v>32504.680851063829</v>
      </c>
      <c r="D48" s="27">
        <f t="shared" si="1"/>
        <v>1056554277.2295156</v>
      </c>
    </row>
    <row r="49" spans="1:4" x14ac:dyDescent="0.25">
      <c r="A49" s="18" t="s">
        <v>87</v>
      </c>
      <c r="B49" s="20">
        <v>25000</v>
      </c>
      <c r="C49" s="27">
        <f t="shared" si="0"/>
        <v>-1295.3191489361707</v>
      </c>
      <c r="D49" s="27">
        <f t="shared" si="1"/>
        <v>1677851.6976007256</v>
      </c>
    </row>
    <row r="50" spans="1:4" x14ac:dyDescent="0.25">
      <c r="A50" s="18" t="s">
        <v>88</v>
      </c>
      <c r="B50" s="20">
        <v>42000</v>
      </c>
      <c r="C50" s="27">
        <f t="shared" si="0"/>
        <v>15704.680851063829</v>
      </c>
      <c r="D50" s="27">
        <f t="shared" si="1"/>
        <v>246637000.63377091</v>
      </c>
    </row>
    <row r="51" spans="1:4" x14ac:dyDescent="0.25">
      <c r="A51" s="18" t="s">
        <v>89</v>
      </c>
      <c r="B51" s="20">
        <v>3185.0000000000005</v>
      </c>
      <c r="C51" s="27">
        <f t="shared" si="0"/>
        <v>-23110.319148936171</v>
      </c>
      <c r="D51" s="27">
        <f t="shared" si="1"/>
        <v>534086851.16568583</v>
      </c>
    </row>
    <row r="52" spans="1:4" x14ac:dyDescent="0.25">
      <c r="A52" s="18" t="s">
        <v>90</v>
      </c>
      <c r="B52" s="20">
        <v>2940</v>
      </c>
      <c r="C52" s="27">
        <f t="shared" si="0"/>
        <v>-23355.319148936171</v>
      </c>
      <c r="D52" s="27">
        <f t="shared" si="1"/>
        <v>545470932.54866457</v>
      </c>
    </row>
    <row r="53" spans="1:4" x14ac:dyDescent="0.25">
      <c r="A53" s="18" t="s">
        <v>91</v>
      </c>
      <c r="B53" s="20">
        <v>6125</v>
      </c>
      <c r="C53" s="27">
        <f t="shared" si="0"/>
        <v>-20170.319148936171</v>
      </c>
      <c r="D53" s="27">
        <f t="shared" si="1"/>
        <v>406841774.56994116</v>
      </c>
    </row>
    <row r="54" spans="1:4" x14ac:dyDescent="0.25">
      <c r="A54" s="18" t="s">
        <v>92</v>
      </c>
      <c r="B54" s="20">
        <v>3062.5</v>
      </c>
      <c r="C54" s="27">
        <f t="shared" si="0"/>
        <v>-23232.819148936171</v>
      </c>
      <c r="D54" s="27">
        <f t="shared" si="1"/>
        <v>539763885.60717523</v>
      </c>
    </row>
    <row r="55" spans="1:4" x14ac:dyDescent="0.25">
      <c r="A55" s="18" t="s">
        <v>93</v>
      </c>
      <c r="B55" s="20">
        <v>3675.0000000000005</v>
      </c>
      <c r="C55" s="27">
        <f t="shared" si="0"/>
        <v>-22620.319148936171</v>
      </c>
      <c r="D55" s="27">
        <f t="shared" si="1"/>
        <v>511678838.39972842</v>
      </c>
    </row>
    <row r="56" spans="1:4" x14ac:dyDescent="0.25">
      <c r="A56" s="18" t="s">
        <v>94</v>
      </c>
      <c r="B56" s="20">
        <v>26250</v>
      </c>
      <c r="C56" s="27">
        <f t="shared" si="0"/>
        <v>-45.319148936170677</v>
      </c>
      <c r="D56" s="27">
        <f t="shared" si="1"/>
        <v>2053.82526029882</v>
      </c>
    </row>
    <row r="57" spans="1:4" x14ac:dyDescent="0.25">
      <c r="A57" s="18" t="s">
        <v>95</v>
      </c>
      <c r="B57" s="20">
        <v>10450</v>
      </c>
      <c r="C57" s="27">
        <f t="shared" si="0"/>
        <v>-15845.319148936171</v>
      </c>
      <c r="D57" s="27">
        <f t="shared" si="1"/>
        <v>251074138.93164328</v>
      </c>
    </row>
    <row r="58" spans="1:4" x14ac:dyDescent="0.25">
      <c r="A58" s="18" t="s">
        <v>96</v>
      </c>
      <c r="B58" s="20">
        <v>9975</v>
      </c>
      <c r="C58" s="27">
        <f t="shared" si="0"/>
        <v>-16320.319148936171</v>
      </c>
      <c r="D58" s="27">
        <f t="shared" si="1"/>
        <v>266352817.12313265</v>
      </c>
    </row>
    <row r="59" spans="1:4" x14ac:dyDescent="0.25">
      <c r="A59" s="18" t="s">
        <v>97</v>
      </c>
      <c r="B59" s="20">
        <v>23625</v>
      </c>
      <c r="C59" s="27">
        <f t="shared" si="0"/>
        <v>-2670.3191489361707</v>
      </c>
      <c r="D59" s="27">
        <f t="shared" si="1"/>
        <v>7130604.3571751947</v>
      </c>
    </row>
    <row r="60" spans="1:4" x14ac:dyDescent="0.25">
      <c r="A60" s="18" t="s">
        <v>98</v>
      </c>
      <c r="B60" s="20">
        <v>30625</v>
      </c>
      <c r="C60" s="27">
        <f t="shared" si="0"/>
        <v>4329.6808510638293</v>
      </c>
      <c r="D60" s="27">
        <f t="shared" si="1"/>
        <v>18746136.272068806</v>
      </c>
    </row>
    <row r="61" spans="1:4" x14ac:dyDescent="0.25">
      <c r="A61" s="18" t="s">
        <v>99</v>
      </c>
      <c r="B61" s="20">
        <v>22575</v>
      </c>
      <c r="C61" s="27">
        <f t="shared" si="0"/>
        <v>-3720.3191489361707</v>
      </c>
      <c r="D61" s="27">
        <f t="shared" si="1"/>
        <v>13840774.569941154</v>
      </c>
    </row>
    <row r="62" spans="1:4" x14ac:dyDescent="0.25">
      <c r="A62" s="18" t="s">
        <v>100</v>
      </c>
      <c r="B62" s="20">
        <v>24150</v>
      </c>
      <c r="C62" s="27">
        <f t="shared" si="0"/>
        <v>-2145.3191489361707</v>
      </c>
      <c r="D62" s="27">
        <f t="shared" si="1"/>
        <v>4602394.2507922156</v>
      </c>
    </row>
    <row r="63" spans="1:4" x14ac:dyDescent="0.25">
      <c r="A63" s="18" t="s">
        <v>101</v>
      </c>
      <c r="B63" s="20">
        <v>21450</v>
      </c>
      <c r="C63" s="27">
        <f t="shared" si="0"/>
        <v>-4845.3191489361707</v>
      </c>
      <c r="D63" s="27">
        <f t="shared" si="1"/>
        <v>23477117.655047536</v>
      </c>
    </row>
    <row r="64" spans="1:4" x14ac:dyDescent="0.25">
      <c r="A64" s="18" t="s">
        <v>102</v>
      </c>
      <c r="B64" s="20">
        <v>7425</v>
      </c>
      <c r="C64" s="27">
        <f t="shared" si="0"/>
        <v>-18870.319148936171</v>
      </c>
      <c r="D64" s="27">
        <f t="shared" si="1"/>
        <v>356088944.7827071</v>
      </c>
    </row>
    <row r="65" spans="1:4" x14ac:dyDescent="0.25">
      <c r="A65" s="18" t="s">
        <v>103</v>
      </c>
      <c r="B65" s="20">
        <v>7837.5</v>
      </c>
      <c r="C65" s="27">
        <f t="shared" si="0"/>
        <v>-18457.819148936171</v>
      </c>
      <c r="D65" s="27">
        <f t="shared" si="1"/>
        <v>340691087.73483479</v>
      </c>
    </row>
    <row r="66" spans="1:4" x14ac:dyDescent="0.25">
      <c r="A66" s="18" t="s">
        <v>104</v>
      </c>
      <c r="B66" s="20">
        <v>8002.5</v>
      </c>
      <c r="C66" s="27">
        <f t="shared" si="0"/>
        <v>-18292.819148936171</v>
      </c>
      <c r="D66" s="27">
        <f t="shared" si="1"/>
        <v>334627232.41568583</v>
      </c>
    </row>
    <row r="67" spans="1:4" x14ac:dyDescent="0.25">
      <c r="A67" s="18" t="s">
        <v>105</v>
      </c>
      <c r="B67" s="20">
        <v>96750</v>
      </c>
      <c r="C67" s="27">
        <f t="shared" ref="C67:C95" si="2">B67-$B$99</f>
        <v>70454.680851063837</v>
      </c>
      <c r="D67" s="27">
        <f t="shared" ref="D67:D95" si="3">C67^2</f>
        <v>4963862053.8252611</v>
      </c>
    </row>
    <row r="68" spans="1:4" x14ac:dyDescent="0.25">
      <c r="A68" s="18" t="s">
        <v>106</v>
      </c>
      <c r="B68" s="20">
        <v>64500</v>
      </c>
      <c r="C68" s="27">
        <f t="shared" si="2"/>
        <v>38204.680851063829</v>
      </c>
      <c r="D68" s="27">
        <f t="shared" si="3"/>
        <v>1459597638.9316432</v>
      </c>
    </row>
    <row r="69" spans="1:4" x14ac:dyDescent="0.25">
      <c r="A69" s="18" t="s">
        <v>107</v>
      </c>
      <c r="B69" s="20">
        <v>7062.5</v>
      </c>
      <c r="C69" s="27">
        <f t="shared" si="2"/>
        <v>-19232.819148936171</v>
      </c>
      <c r="D69" s="27">
        <f t="shared" si="3"/>
        <v>369901332.41568583</v>
      </c>
    </row>
    <row r="70" spans="1:4" x14ac:dyDescent="0.25">
      <c r="A70" s="18" t="s">
        <v>108</v>
      </c>
      <c r="B70" s="20">
        <v>27125</v>
      </c>
      <c r="C70" s="27">
        <f t="shared" si="2"/>
        <v>829.68085106382932</v>
      </c>
      <c r="D70" s="27">
        <f t="shared" si="3"/>
        <v>688370.31462200009</v>
      </c>
    </row>
    <row r="71" spans="1:4" x14ac:dyDescent="0.25">
      <c r="A71" s="18" t="s">
        <v>109</v>
      </c>
      <c r="B71" s="20">
        <v>23625</v>
      </c>
      <c r="C71" s="27">
        <f t="shared" si="2"/>
        <v>-2670.3191489361707</v>
      </c>
      <c r="D71" s="27">
        <f t="shared" si="3"/>
        <v>7130604.3571751947</v>
      </c>
    </row>
    <row r="72" spans="1:4" x14ac:dyDescent="0.25">
      <c r="A72" s="18" t="s">
        <v>110</v>
      </c>
      <c r="B72" s="20">
        <v>25350</v>
      </c>
      <c r="C72" s="27">
        <f t="shared" si="2"/>
        <v>-945.31914893617068</v>
      </c>
      <c r="D72" s="27">
        <f t="shared" si="3"/>
        <v>893628.29334540607</v>
      </c>
    </row>
    <row r="73" spans="1:4" x14ac:dyDescent="0.25">
      <c r="A73" s="18" t="s">
        <v>111</v>
      </c>
      <c r="B73" s="20">
        <v>77400</v>
      </c>
      <c r="C73" s="27">
        <f t="shared" si="2"/>
        <v>51104.680851063829</v>
      </c>
      <c r="D73" s="27">
        <f t="shared" si="3"/>
        <v>2611688404.8890901</v>
      </c>
    </row>
    <row r="74" spans="1:4" x14ac:dyDescent="0.25">
      <c r="A74" s="18" t="s">
        <v>112</v>
      </c>
      <c r="B74" s="20">
        <v>19910</v>
      </c>
      <c r="C74" s="27">
        <f t="shared" si="2"/>
        <v>-6385.3191489361707</v>
      </c>
      <c r="D74" s="27">
        <f t="shared" si="3"/>
        <v>40772300.633770943</v>
      </c>
    </row>
    <row r="75" spans="1:4" x14ac:dyDescent="0.25">
      <c r="A75" s="18" t="s">
        <v>113</v>
      </c>
      <c r="B75" s="20">
        <v>68.75</v>
      </c>
      <c r="C75" s="27">
        <f t="shared" si="2"/>
        <v>-26226.569148936171</v>
      </c>
      <c r="D75" s="27">
        <f t="shared" si="3"/>
        <v>687832929.3239305</v>
      </c>
    </row>
    <row r="76" spans="1:4" x14ac:dyDescent="0.25">
      <c r="A76" s="18" t="s">
        <v>114</v>
      </c>
      <c r="B76" s="20">
        <v>82875</v>
      </c>
      <c r="C76" s="27">
        <f t="shared" si="2"/>
        <v>56579.680851063829</v>
      </c>
      <c r="D76" s="27">
        <f t="shared" si="3"/>
        <v>3201260285.2082391</v>
      </c>
    </row>
    <row r="77" spans="1:4" x14ac:dyDescent="0.25">
      <c r="A77" s="18" t="s">
        <v>115</v>
      </c>
      <c r="B77" s="20">
        <v>7000</v>
      </c>
      <c r="C77" s="27">
        <f t="shared" si="2"/>
        <v>-19295.319148936171</v>
      </c>
      <c r="D77" s="27">
        <f t="shared" si="3"/>
        <v>372309341.05930287</v>
      </c>
    </row>
    <row r="78" spans="1:4" x14ac:dyDescent="0.25">
      <c r="A78" s="18" t="s">
        <v>116</v>
      </c>
      <c r="B78" s="20">
        <v>6937.5</v>
      </c>
      <c r="C78" s="27">
        <f t="shared" si="2"/>
        <v>-19357.819148936171</v>
      </c>
      <c r="D78" s="27">
        <f t="shared" si="3"/>
        <v>374725162.2029199</v>
      </c>
    </row>
    <row r="79" spans="1:4" x14ac:dyDescent="0.25">
      <c r="A79" s="18" t="s">
        <v>117</v>
      </c>
      <c r="B79" s="20">
        <v>9045</v>
      </c>
      <c r="C79" s="27">
        <f t="shared" si="2"/>
        <v>-17250.319148936171</v>
      </c>
      <c r="D79" s="27">
        <f t="shared" si="3"/>
        <v>297573510.74015391</v>
      </c>
    </row>
    <row r="80" spans="1:4" x14ac:dyDescent="0.25">
      <c r="A80" s="18" t="s">
        <v>118</v>
      </c>
      <c r="B80" s="20">
        <v>65875</v>
      </c>
      <c r="C80" s="27">
        <f t="shared" si="2"/>
        <v>39579.680851063829</v>
      </c>
      <c r="D80" s="27">
        <f t="shared" si="3"/>
        <v>1566551136.2720687</v>
      </c>
    </row>
    <row r="81" spans="1:4" x14ac:dyDescent="0.25">
      <c r="A81" s="18" t="s">
        <v>119</v>
      </c>
      <c r="B81" s="20">
        <v>6875</v>
      </c>
      <c r="C81" s="27">
        <f t="shared" si="2"/>
        <v>-19420.319148936171</v>
      </c>
      <c r="D81" s="27">
        <f t="shared" si="3"/>
        <v>377148795.84653693</v>
      </c>
    </row>
    <row r="82" spans="1:4" x14ac:dyDescent="0.25">
      <c r="A82" s="18" t="s">
        <v>120</v>
      </c>
      <c r="B82" s="20">
        <v>76500</v>
      </c>
      <c r="C82" s="27">
        <f t="shared" si="2"/>
        <v>50204.680851063829</v>
      </c>
      <c r="D82" s="27">
        <f t="shared" si="3"/>
        <v>2520509979.3571754</v>
      </c>
    </row>
    <row r="83" spans="1:4" x14ac:dyDescent="0.25">
      <c r="A83" s="18" t="s">
        <v>121</v>
      </c>
      <c r="B83" s="20">
        <v>81937.5</v>
      </c>
      <c r="C83" s="27">
        <f t="shared" si="2"/>
        <v>55642.180851063829</v>
      </c>
      <c r="D83" s="27">
        <f t="shared" si="3"/>
        <v>3096052289.8624945</v>
      </c>
    </row>
    <row r="84" spans="1:4" x14ac:dyDescent="0.25">
      <c r="A84" s="18" t="s">
        <v>122</v>
      </c>
      <c r="B84" s="20">
        <v>53125</v>
      </c>
      <c r="C84" s="27">
        <f t="shared" si="2"/>
        <v>26829.680851063829</v>
      </c>
      <c r="D84" s="27">
        <f t="shared" si="3"/>
        <v>719831774.56994116</v>
      </c>
    </row>
    <row r="85" spans="1:4" x14ac:dyDescent="0.25">
      <c r="A85" s="18" t="s">
        <v>123</v>
      </c>
      <c r="B85" s="20">
        <v>63750</v>
      </c>
      <c r="C85" s="27">
        <f t="shared" si="2"/>
        <v>37454.680851063829</v>
      </c>
      <c r="D85" s="27">
        <f t="shared" si="3"/>
        <v>1402853117.6550474</v>
      </c>
    </row>
    <row r="86" spans="1:4" x14ac:dyDescent="0.25">
      <c r="A86" s="18" t="s">
        <v>124</v>
      </c>
      <c r="B86" s="20">
        <v>61625</v>
      </c>
      <c r="C86" s="27">
        <f t="shared" si="2"/>
        <v>35329.680851063829</v>
      </c>
      <c r="D86" s="27">
        <f t="shared" si="3"/>
        <v>1248186349.0380263</v>
      </c>
    </row>
    <row r="87" spans="1:4" x14ac:dyDescent="0.25">
      <c r="A87" s="18" t="s">
        <v>125</v>
      </c>
      <c r="B87" s="20">
        <v>23750</v>
      </c>
      <c r="C87" s="27">
        <f t="shared" si="2"/>
        <v>-2545.3191489361707</v>
      </c>
      <c r="D87" s="27">
        <f t="shared" si="3"/>
        <v>6478649.5699411519</v>
      </c>
    </row>
    <row r="88" spans="1:4" x14ac:dyDescent="0.25">
      <c r="A88" s="18" t="s">
        <v>126</v>
      </c>
      <c r="B88" s="20">
        <v>7062.5</v>
      </c>
      <c r="C88" s="27">
        <f t="shared" si="2"/>
        <v>-19232.819148936171</v>
      </c>
      <c r="D88" s="27">
        <f t="shared" si="3"/>
        <v>369901332.41568583</v>
      </c>
    </row>
    <row r="89" spans="1:4" x14ac:dyDescent="0.25">
      <c r="A89" s="18" t="s">
        <v>127</v>
      </c>
      <c r="B89" s="20">
        <v>6781.25</v>
      </c>
      <c r="C89" s="27">
        <f t="shared" si="2"/>
        <v>-19514.069148936171</v>
      </c>
      <c r="D89" s="27">
        <f t="shared" si="3"/>
        <v>380798894.74946243</v>
      </c>
    </row>
    <row r="90" spans="1:4" x14ac:dyDescent="0.25">
      <c r="A90" s="18" t="s">
        <v>128</v>
      </c>
      <c r="B90" s="20">
        <v>375</v>
      </c>
      <c r="C90" s="27">
        <f t="shared" si="2"/>
        <v>-25920.319148936171</v>
      </c>
      <c r="D90" s="27">
        <f t="shared" si="3"/>
        <v>671862944.7827071</v>
      </c>
    </row>
    <row r="91" spans="1:4" x14ac:dyDescent="0.25">
      <c r="A91" s="18" t="s">
        <v>129</v>
      </c>
      <c r="B91" s="20">
        <v>6750</v>
      </c>
      <c r="C91" s="27">
        <f t="shared" si="2"/>
        <v>-19545.319148936171</v>
      </c>
      <c r="D91" s="27">
        <f t="shared" si="3"/>
        <v>382019500.63377094</v>
      </c>
    </row>
    <row r="92" spans="1:4" x14ac:dyDescent="0.25">
      <c r="A92" s="18" t="s">
        <v>130</v>
      </c>
      <c r="B92" s="20">
        <v>16625</v>
      </c>
      <c r="C92" s="27">
        <f t="shared" si="2"/>
        <v>-9670.3191489361707</v>
      </c>
      <c r="D92" s="27">
        <f t="shared" si="3"/>
        <v>93515072.442281589</v>
      </c>
    </row>
    <row r="93" spans="1:4" x14ac:dyDescent="0.25">
      <c r="A93" s="18" t="s">
        <v>131</v>
      </c>
      <c r="B93" s="20">
        <v>74375</v>
      </c>
      <c r="C93" s="27">
        <f t="shared" si="2"/>
        <v>48079.680851063829</v>
      </c>
      <c r="D93" s="27">
        <f t="shared" si="3"/>
        <v>2311655710.7401538</v>
      </c>
    </row>
    <row r="94" spans="1:4" x14ac:dyDescent="0.25">
      <c r="A94" s="18" t="s">
        <v>132</v>
      </c>
      <c r="B94" s="20">
        <v>72250</v>
      </c>
      <c r="C94" s="27">
        <f t="shared" si="2"/>
        <v>45954.680851063829</v>
      </c>
      <c r="D94" s="27">
        <f t="shared" si="3"/>
        <v>2111832692.1231327</v>
      </c>
    </row>
    <row r="95" spans="1:4" ht="16.5" thickBot="1" x14ac:dyDescent="0.3">
      <c r="A95" s="18" t="s">
        <v>133</v>
      </c>
      <c r="B95" s="21">
        <v>6562.5</v>
      </c>
      <c r="C95" s="28">
        <f t="shared" si="2"/>
        <v>-19732.819148936171</v>
      </c>
      <c r="D95" s="28">
        <f t="shared" si="3"/>
        <v>389384151.56462204</v>
      </c>
    </row>
    <row r="96" spans="1:4" ht="16.5" thickTop="1" x14ac:dyDescent="0.25">
      <c r="A96" s="18" t="s">
        <v>32</v>
      </c>
      <c r="B96" s="20">
        <f>SUM(B2:B95)</f>
        <v>2471760</v>
      </c>
      <c r="C96" s="18" t="s">
        <v>137</v>
      </c>
      <c r="D96" s="27">
        <f>SUM(D2:D95)</f>
        <v>82825295365.675522</v>
      </c>
    </row>
    <row r="97" spans="1:4" x14ac:dyDescent="0.25">
      <c r="A97" s="18" t="s">
        <v>33</v>
      </c>
      <c r="B97" s="22">
        <f xml:space="preserve"> COUNT(B2:B95)</f>
        <v>94</v>
      </c>
    </row>
    <row r="99" spans="1:4" x14ac:dyDescent="0.25">
      <c r="A99" s="18" t="s">
        <v>34</v>
      </c>
      <c r="B99" s="20">
        <f>B96/B97</f>
        <v>26295.319148936171</v>
      </c>
      <c r="C99" s="18" t="s">
        <v>138</v>
      </c>
      <c r="D99" s="30">
        <f>D96/(B97-1)</f>
        <v>890594573.82446802</v>
      </c>
    </row>
    <row r="100" spans="1:4" x14ac:dyDescent="0.25">
      <c r="D100" s="30"/>
    </row>
    <row r="101" spans="1:4" x14ac:dyDescent="0.25">
      <c r="C101" s="18" t="s">
        <v>139</v>
      </c>
      <c r="D101" s="30">
        <f>_xlfn.VAR.S(B2:B95)</f>
        <v>890594573.82446814</v>
      </c>
    </row>
    <row r="105" spans="1:4" x14ac:dyDescent="0.25">
      <c r="C105" s="27"/>
      <c r="D105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workbookViewId="0"/>
  </sheetViews>
  <sheetFormatPr defaultColWidth="8.85546875" defaultRowHeight="15.75" x14ac:dyDescent="0.25"/>
  <cols>
    <col min="1" max="1" width="19.42578125" style="18" bestFit="1" customWidth="1"/>
    <col min="2" max="2" width="14.85546875" style="20" bestFit="1" customWidth="1"/>
    <col min="3" max="3" width="8.140625" style="2" bestFit="1" customWidth="1"/>
    <col min="4" max="16384" width="8.85546875" style="2"/>
  </cols>
  <sheetData>
    <row r="1" spans="1:3" x14ac:dyDescent="0.25">
      <c r="A1" s="18" t="s">
        <v>39</v>
      </c>
      <c r="B1" s="19" t="s">
        <v>26</v>
      </c>
      <c r="C1" s="18" t="s">
        <v>141</v>
      </c>
    </row>
    <row r="2" spans="1:3" x14ac:dyDescent="0.25">
      <c r="A2" s="18" t="s">
        <v>113</v>
      </c>
      <c r="B2" s="20">
        <v>68.75</v>
      </c>
      <c r="C2" s="31">
        <f t="shared" ref="C2:C33" si="0">(B2-$B$97)/$B$98</f>
        <v>-0.87882309075244158</v>
      </c>
    </row>
    <row r="3" spans="1:3" x14ac:dyDescent="0.25">
      <c r="A3" s="18" t="s">
        <v>76</v>
      </c>
      <c r="B3" s="20">
        <v>82.5</v>
      </c>
      <c r="C3" s="31">
        <f t="shared" si="0"/>
        <v>-0.87836234358306442</v>
      </c>
    </row>
    <row r="4" spans="1:3" x14ac:dyDescent="0.25">
      <c r="A4" s="18" t="s">
        <v>128</v>
      </c>
      <c r="B4" s="20">
        <v>375</v>
      </c>
      <c r="C4" s="31">
        <f t="shared" si="0"/>
        <v>-0.86856099470722359</v>
      </c>
    </row>
    <row r="5" spans="1:3" x14ac:dyDescent="0.25">
      <c r="A5" s="18" t="s">
        <v>75</v>
      </c>
      <c r="B5" s="20">
        <v>467.5</v>
      </c>
      <c r="C5" s="31">
        <f t="shared" si="0"/>
        <v>-0.86546142284050465</v>
      </c>
    </row>
    <row r="6" spans="1:3" x14ac:dyDescent="0.25">
      <c r="A6" s="18" t="s">
        <v>69</v>
      </c>
      <c r="B6" s="20">
        <v>525</v>
      </c>
      <c r="C6" s="31">
        <f t="shared" si="0"/>
        <v>-0.86353466195038209</v>
      </c>
    </row>
    <row r="7" spans="1:3" x14ac:dyDescent="0.25">
      <c r="A7" s="18" t="s">
        <v>40</v>
      </c>
      <c r="B7" s="20">
        <v>2700</v>
      </c>
      <c r="C7" s="31">
        <f t="shared" si="0"/>
        <v>-0.7906528369761805</v>
      </c>
    </row>
    <row r="8" spans="1:3" x14ac:dyDescent="0.25">
      <c r="A8" s="18" t="s">
        <v>90</v>
      </c>
      <c r="B8" s="20">
        <v>2940</v>
      </c>
      <c r="C8" s="31">
        <f t="shared" si="0"/>
        <v>-0.78261070456523418</v>
      </c>
    </row>
    <row r="9" spans="1:3" x14ac:dyDescent="0.25">
      <c r="A9" s="18" t="s">
        <v>92</v>
      </c>
      <c r="B9" s="20">
        <v>3062.5</v>
      </c>
      <c r="C9" s="31">
        <f t="shared" si="0"/>
        <v>-0.7785058661471469</v>
      </c>
    </row>
    <row r="10" spans="1:3" x14ac:dyDescent="0.25">
      <c r="A10" s="18" t="s">
        <v>54</v>
      </c>
      <c r="B10" s="20">
        <v>3150</v>
      </c>
      <c r="C10" s="31">
        <f t="shared" si="0"/>
        <v>-0.7755738387056561</v>
      </c>
    </row>
    <row r="11" spans="1:3" x14ac:dyDescent="0.25">
      <c r="A11" s="18" t="s">
        <v>89</v>
      </c>
      <c r="B11" s="20">
        <v>3185.0000000000005</v>
      </c>
      <c r="C11" s="31">
        <f t="shared" si="0"/>
        <v>-0.77440102772905972</v>
      </c>
    </row>
    <row r="12" spans="1:3" x14ac:dyDescent="0.25">
      <c r="A12" s="18" t="s">
        <v>51</v>
      </c>
      <c r="B12" s="20">
        <v>3300</v>
      </c>
      <c r="C12" s="31">
        <f t="shared" si="0"/>
        <v>-0.7705475059488146</v>
      </c>
    </row>
    <row r="13" spans="1:3" x14ac:dyDescent="0.25">
      <c r="A13" s="18" t="s">
        <v>67</v>
      </c>
      <c r="B13" s="20">
        <v>3562.5</v>
      </c>
      <c r="C13" s="31">
        <f t="shared" si="0"/>
        <v>-0.76175142362434201</v>
      </c>
    </row>
    <row r="14" spans="1:3" x14ac:dyDescent="0.25">
      <c r="A14" s="18" t="s">
        <v>93</v>
      </c>
      <c r="B14" s="20">
        <v>3675.0000000000005</v>
      </c>
      <c r="C14" s="31">
        <f t="shared" si="0"/>
        <v>-0.7579816740567108</v>
      </c>
    </row>
    <row r="15" spans="1:3" x14ac:dyDescent="0.25">
      <c r="A15" s="18" t="s">
        <v>73</v>
      </c>
      <c r="B15" s="20">
        <v>3705</v>
      </c>
      <c r="C15" s="31">
        <f t="shared" si="0"/>
        <v>-0.75697640750534256</v>
      </c>
    </row>
    <row r="16" spans="1:3" x14ac:dyDescent="0.25">
      <c r="A16" s="18" t="s">
        <v>70</v>
      </c>
      <c r="B16" s="20">
        <v>3847.5</v>
      </c>
      <c r="C16" s="31">
        <f t="shared" si="0"/>
        <v>-0.75220139138634312</v>
      </c>
    </row>
    <row r="17" spans="1:3" x14ac:dyDescent="0.25">
      <c r="A17" s="18" t="s">
        <v>77</v>
      </c>
      <c r="B17" s="20">
        <v>4425</v>
      </c>
      <c r="C17" s="31">
        <f t="shared" si="0"/>
        <v>-0.7328500102725034</v>
      </c>
    </row>
    <row r="18" spans="1:3" x14ac:dyDescent="0.25">
      <c r="A18" s="18" t="s">
        <v>56</v>
      </c>
      <c r="B18" s="20">
        <v>4562.5</v>
      </c>
      <c r="C18" s="31">
        <f t="shared" si="0"/>
        <v>-0.728242538578732</v>
      </c>
    </row>
    <row r="19" spans="1:3" x14ac:dyDescent="0.25">
      <c r="A19" s="18" t="s">
        <v>57</v>
      </c>
      <c r="B19" s="20">
        <v>5292.5</v>
      </c>
      <c r="C19" s="31">
        <f t="shared" si="0"/>
        <v>-0.70378105249543677</v>
      </c>
    </row>
    <row r="20" spans="1:3" x14ac:dyDescent="0.25">
      <c r="A20" s="18" t="s">
        <v>59</v>
      </c>
      <c r="B20" s="20">
        <v>5365.5</v>
      </c>
      <c r="C20" s="31">
        <f t="shared" si="0"/>
        <v>-0.70133490388710729</v>
      </c>
    </row>
    <row r="21" spans="1:3" x14ac:dyDescent="0.25">
      <c r="A21" s="18" t="s">
        <v>50</v>
      </c>
      <c r="B21" s="20">
        <v>6075</v>
      </c>
      <c r="C21" s="31">
        <f t="shared" si="0"/>
        <v>-0.67756034994724701</v>
      </c>
    </row>
    <row r="22" spans="1:3" x14ac:dyDescent="0.25">
      <c r="A22" s="18" t="s">
        <v>91</v>
      </c>
      <c r="B22" s="20">
        <v>6125</v>
      </c>
      <c r="C22" s="31">
        <f t="shared" si="0"/>
        <v>-0.67588490569496651</v>
      </c>
    </row>
    <row r="23" spans="1:3" x14ac:dyDescent="0.25">
      <c r="A23" s="18" t="s">
        <v>52</v>
      </c>
      <c r="B23" s="20">
        <v>6277.5</v>
      </c>
      <c r="C23" s="31">
        <f t="shared" si="0"/>
        <v>-0.67077480072551099</v>
      </c>
    </row>
    <row r="24" spans="1:3" x14ac:dyDescent="0.25">
      <c r="A24" s="18" t="s">
        <v>133</v>
      </c>
      <c r="B24" s="23">
        <v>6562.5</v>
      </c>
      <c r="C24" s="31">
        <f t="shared" si="0"/>
        <v>-0.66122476848751222</v>
      </c>
    </row>
    <row r="25" spans="1:3" x14ac:dyDescent="0.25">
      <c r="A25" s="18" t="s">
        <v>129</v>
      </c>
      <c r="B25" s="20">
        <v>6750</v>
      </c>
      <c r="C25" s="31">
        <f t="shared" si="0"/>
        <v>-0.65494185254146031</v>
      </c>
    </row>
    <row r="26" spans="1:3" x14ac:dyDescent="0.25">
      <c r="A26" s="18" t="s">
        <v>127</v>
      </c>
      <c r="B26" s="20">
        <v>6781.25</v>
      </c>
      <c r="C26" s="31">
        <f t="shared" si="0"/>
        <v>-0.65389469988378501</v>
      </c>
    </row>
    <row r="27" spans="1:3" x14ac:dyDescent="0.25">
      <c r="A27" s="18" t="s">
        <v>119</v>
      </c>
      <c r="B27" s="20">
        <v>6875</v>
      </c>
      <c r="C27" s="31">
        <f t="shared" si="0"/>
        <v>-0.65075324191075912</v>
      </c>
    </row>
    <row r="28" spans="1:3" x14ac:dyDescent="0.25">
      <c r="A28" s="18" t="s">
        <v>116</v>
      </c>
      <c r="B28" s="20">
        <v>6937.5</v>
      </c>
      <c r="C28" s="31">
        <f t="shared" si="0"/>
        <v>-0.64865893659540852</v>
      </c>
    </row>
    <row r="29" spans="1:3" x14ac:dyDescent="0.25">
      <c r="A29" s="18" t="s">
        <v>115</v>
      </c>
      <c r="B29" s="20">
        <v>7000</v>
      </c>
      <c r="C29" s="31">
        <f t="shared" si="0"/>
        <v>-0.64656463128005792</v>
      </c>
    </row>
    <row r="30" spans="1:3" x14ac:dyDescent="0.25">
      <c r="A30" s="18" t="s">
        <v>107</v>
      </c>
      <c r="B30" s="20">
        <v>7062.5</v>
      </c>
      <c r="C30" s="31">
        <f t="shared" si="0"/>
        <v>-0.64447032596470721</v>
      </c>
    </row>
    <row r="31" spans="1:3" x14ac:dyDescent="0.25">
      <c r="A31" s="18" t="s">
        <v>126</v>
      </c>
      <c r="B31" s="20">
        <v>7062.5</v>
      </c>
      <c r="C31" s="31">
        <f t="shared" si="0"/>
        <v>-0.64447032596470721</v>
      </c>
    </row>
    <row r="32" spans="1:3" x14ac:dyDescent="0.25">
      <c r="A32" s="18" t="s">
        <v>60</v>
      </c>
      <c r="B32" s="20">
        <v>7245.25</v>
      </c>
      <c r="C32" s="31">
        <f t="shared" si="0"/>
        <v>-0.638346577222622</v>
      </c>
    </row>
    <row r="33" spans="1:3" x14ac:dyDescent="0.25">
      <c r="A33" s="18" t="s">
        <v>83</v>
      </c>
      <c r="B33" s="20">
        <v>7425</v>
      </c>
      <c r="C33" s="31">
        <f t="shared" si="0"/>
        <v>-0.63232335513567361</v>
      </c>
    </row>
    <row r="34" spans="1:3" x14ac:dyDescent="0.25">
      <c r="A34" s="18" t="s">
        <v>102</v>
      </c>
      <c r="B34" s="20">
        <v>7425</v>
      </c>
      <c r="C34" s="31">
        <f t="shared" ref="C34:C65" si="1">(B34-$B$97)/$B$98</f>
        <v>-0.63232335513567361</v>
      </c>
    </row>
    <row r="35" spans="1:3" x14ac:dyDescent="0.25">
      <c r="A35" s="18" t="s">
        <v>103</v>
      </c>
      <c r="B35" s="20">
        <v>7837.5</v>
      </c>
      <c r="C35" s="31">
        <f t="shared" si="1"/>
        <v>-0.61850094005435963</v>
      </c>
    </row>
    <row r="36" spans="1:3" x14ac:dyDescent="0.25">
      <c r="A36" s="18" t="s">
        <v>104</v>
      </c>
      <c r="B36" s="20">
        <v>8002.5</v>
      </c>
      <c r="C36" s="31">
        <f t="shared" si="1"/>
        <v>-0.6129719740218339</v>
      </c>
    </row>
    <row r="37" spans="1:3" x14ac:dyDescent="0.25">
      <c r="A37" s="18" t="s">
        <v>84</v>
      </c>
      <c r="B37" s="20">
        <v>9000</v>
      </c>
      <c r="C37" s="31">
        <f t="shared" si="1"/>
        <v>-0.57954686118883803</v>
      </c>
    </row>
    <row r="38" spans="1:3" x14ac:dyDescent="0.25">
      <c r="A38" s="18" t="s">
        <v>117</v>
      </c>
      <c r="B38" s="20">
        <v>9045</v>
      </c>
      <c r="C38" s="31">
        <f t="shared" si="1"/>
        <v>-0.57803896136178556</v>
      </c>
    </row>
    <row r="39" spans="1:3" x14ac:dyDescent="0.25">
      <c r="A39" s="18" t="s">
        <v>68</v>
      </c>
      <c r="B39" s="20">
        <v>9547.5</v>
      </c>
      <c r="C39" s="31">
        <f t="shared" si="1"/>
        <v>-0.56120074662636665</v>
      </c>
    </row>
    <row r="40" spans="1:3" x14ac:dyDescent="0.25">
      <c r="A40" s="18" t="s">
        <v>96</v>
      </c>
      <c r="B40" s="20">
        <v>9975</v>
      </c>
      <c r="C40" s="31">
        <f t="shared" si="1"/>
        <v>-0.54687569826936844</v>
      </c>
    </row>
    <row r="41" spans="1:3" x14ac:dyDescent="0.25">
      <c r="A41" s="18" t="s">
        <v>74</v>
      </c>
      <c r="B41" s="20">
        <v>10050</v>
      </c>
      <c r="C41" s="31">
        <f t="shared" si="1"/>
        <v>-0.54436253189094763</v>
      </c>
    </row>
    <row r="42" spans="1:3" x14ac:dyDescent="0.25">
      <c r="A42" s="18" t="s">
        <v>95</v>
      </c>
      <c r="B42" s="20">
        <v>10450</v>
      </c>
      <c r="C42" s="31">
        <f t="shared" si="1"/>
        <v>-0.53095897787270363</v>
      </c>
    </row>
    <row r="43" spans="1:3" x14ac:dyDescent="0.25">
      <c r="A43" s="18" t="s">
        <v>85</v>
      </c>
      <c r="B43" s="20">
        <v>10800</v>
      </c>
      <c r="C43" s="31">
        <f t="shared" si="1"/>
        <v>-0.51923086810674024</v>
      </c>
    </row>
    <row r="44" spans="1:3" x14ac:dyDescent="0.25">
      <c r="A44" s="18" t="s">
        <v>65</v>
      </c>
      <c r="B44" s="20">
        <v>13650</v>
      </c>
      <c r="C44" s="31">
        <f t="shared" si="1"/>
        <v>-0.42373054572675195</v>
      </c>
    </row>
    <row r="45" spans="1:3" x14ac:dyDescent="0.25">
      <c r="A45" s="18" t="s">
        <v>55</v>
      </c>
      <c r="B45" s="20">
        <v>14910</v>
      </c>
      <c r="C45" s="31">
        <f t="shared" si="1"/>
        <v>-0.38150935056928348</v>
      </c>
    </row>
    <row r="46" spans="1:3" x14ac:dyDescent="0.25">
      <c r="A46" s="18" t="s">
        <v>62</v>
      </c>
      <c r="B46" s="20">
        <v>14910</v>
      </c>
      <c r="C46" s="31">
        <f t="shared" si="1"/>
        <v>-0.38150935056928348</v>
      </c>
    </row>
    <row r="47" spans="1:3" x14ac:dyDescent="0.25">
      <c r="A47" s="18" t="s">
        <v>61</v>
      </c>
      <c r="B47" s="20">
        <v>15087.5</v>
      </c>
      <c r="C47" s="31">
        <f t="shared" si="1"/>
        <v>-0.37556152347368771</v>
      </c>
    </row>
    <row r="48" spans="1:3" x14ac:dyDescent="0.25">
      <c r="A48" s="18" t="s">
        <v>79</v>
      </c>
      <c r="B48" s="20">
        <v>15562.5</v>
      </c>
      <c r="C48" s="31">
        <f t="shared" si="1"/>
        <v>-0.35964480307702296</v>
      </c>
    </row>
    <row r="49" spans="1:3" x14ac:dyDescent="0.25">
      <c r="A49" s="18" t="s">
        <v>45</v>
      </c>
      <c r="B49" s="20">
        <v>15750</v>
      </c>
      <c r="C49" s="31">
        <f t="shared" si="1"/>
        <v>-0.35336188713097111</v>
      </c>
    </row>
    <row r="50" spans="1:3" x14ac:dyDescent="0.25">
      <c r="A50" s="18" t="s">
        <v>42</v>
      </c>
      <c r="B50" s="20">
        <v>15937.5</v>
      </c>
      <c r="C50" s="31">
        <f t="shared" si="1"/>
        <v>-0.34707897118491926</v>
      </c>
    </row>
    <row r="51" spans="1:3" x14ac:dyDescent="0.25">
      <c r="A51" s="18" t="s">
        <v>72</v>
      </c>
      <c r="B51" s="20">
        <v>16276.75</v>
      </c>
      <c r="C51" s="31">
        <f t="shared" si="1"/>
        <v>-0.3357110819331961</v>
      </c>
    </row>
    <row r="52" spans="1:3" x14ac:dyDescent="0.25">
      <c r="A52" s="18" t="s">
        <v>63</v>
      </c>
      <c r="B52" s="20">
        <v>16330</v>
      </c>
      <c r="C52" s="31">
        <f t="shared" si="1"/>
        <v>-0.33392673380451737</v>
      </c>
    </row>
    <row r="53" spans="1:3" x14ac:dyDescent="0.25">
      <c r="A53" s="18" t="s">
        <v>130</v>
      </c>
      <c r="B53" s="20">
        <v>16625</v>
      </c>
      <c r="C53" s="31">
        <f t="shared" si="1"/>
        <v>-0.32404161271606247</v>
      </c>
    </row>
    <row r="54" spans="1:3" x14ac:dyDescent="0.25">
      <c r="A54" s="18" t="s">
        <v>71</v>
      </c>
      <c r="B54" s="20">
        <v>17040</v>
      </c>
      <c r="C54" s="31">
        <f t="shared" si="1"/>
        <v>-0.31013542542213435</v>
      </c>
    </row>
    <row r="55" spans="1:3" x14ac:dyDescent="0.25">
      <c r="A55" s="18" t="s">
        <v>53</v>
      </c>
      <c r="B55" s="20">
        <v>17250</v>
      </c>
      <c r="C55" s="31">
        <f t="shared" si="1"/>
        <v>-0.30309855956255627</v>
      </c>
    </row>
    <row r="56" spans="1:3" x14ac:dyDescent="0.25">
      <c r="A56" s="18" t="s">
        <v>46</v>
      </c>
      <c r="B56" s="20">
        <v>17775</v>
      </c>
      <c r="C56" s="31">
        <f t="shared" si="1"/>
        <v>-0.28550639491361107</v>
      </c>
    </row>
    <row r="57" spans="1:3" x14ac:dyDescent="0.25">
      <c r="A57" s="18" t="s">
        <v>43</v>
      </c>
      <c r="B57" s="20">
        <v>18150</v>
      </c>
      <c r="C57" s="31">
        <f t="shared" si="1"/>
        <v>-0.27294056302150732</v>
      </c>
    </row>
    <row r="58" spans="1:3" x14ac:dyDescent="0.25">
      <c r="A58" s="18" t="s">
        <v>41</v>
      </c>
      <c r="B58" s="20">
        <v>19250</v>
      </c>
      <c r="C58" s="31">
        <f t="shared" si="1"/>
        <v>-0.23608078947133643</v>
      </c>
    </row>
    <row r="59" spans="1:3" x14ac:dyDescent="0.25">
      <c r="A59" s="18" t="s">
        <v>112</v>
      </c>
      <c r="B59" s="20">
        <v>19910</v>
      </c>
      <c r="C59" s="31">
        <f t="shared" si="1"/>
        <v>-0.21396492534123387</v>
      </c>
    </row>
    <row r="60" spans="1:3" x14ac:dyDescent="0.25">
      <c r="A60" s="18" t="s">
        <v>101</v>
      </c>
      <c r="B60" s="20">
        <v>21450</v>
      </c>
      <c r="C60" s="31">
        <f t="shared" si="1"/>
        <v>-0.16236124237099461</v>
      </c>
    </row>
    <row r="61" spans="1:3" x14ac:dyDescent="0.25">
      <c r="A61" s="18" t="s">
        <v>99</v>
      </c>
      <c r="B61" s="20">
        <v>22575</v>
      </c>
      <c r="C61" s="31">
        <f t="shared" si="1"/>
        <v>-0.12466374669468346</v>
      </c>
    </row>
    <row r="62" spans="1:3" x14ac:dyDescent="0.25">
      <c r="A62" s="18" t="s">
        <v>44</v>
      </c>
      <c r="B62" s="20">
        <v>23400</v>
      </c>
      <c r="C62" s="31">
        <f t="shared" si="1"/>
        <v>-9.7018916532055272E-2</v>
      </c>
    </row>
    <row r="63" spans="1:3" x14ac:dyDescent="0.25">
      <c r="A63" s="18" t="s">
        <v>97</v>
      </c>
      <c r="B63" s="20">
        <v>23625</v>
      </c>
      <c r="C63" s="31">
        <f t="shared" si="1"/>
        <v>-8.9479417396793048E-2</v>
      </c>
    </row>
    <row r="64" spans="1:3" x14ac:dyDescent="0.25">
      <c r="A64" s="18" t="s">
        <v>109</v>
      </c>
      <c r="B64" s="20">
        <v>23625</v>
      </c>
      <c r="C64" s="31">
        <f t="shared" si="1"/>
        <v>-8.9479417396793048E-2</v>
      </c>
    </row>
    <row r="65" spans="1:3" x14ac:dyDescent="0.25">
      <c r="A65" s="18" t="s">
        <v>125</v>
      </c>
      <c r="B65" s="20">
        <v>23750</v>
      </c>
      <c r="C65" s="31">
        <f t="shared" si="1"/>
        <v>-8.5290806766091812E-2</v>
      </c>
    </row>
    <row r="66" spans="1:3" x14ac:dyDescent="0.25">
      <c r="A66" s="18" t="s">
        <v>100</v>
      </c>
      <c r="B66" s="20">
        <v>24150</v>
      </c>
      <c r="C66" s="31">
        <f t="shared" ref="C66:C95" si="2">(B66-$B$97)/$B$98</f>
        <v>-7.1887252747847838E-2</v>
      </c>
    </row>
    <row r="67" spans="1:3" x14ac:dyDescent="0.25">
      <c r="A67" s="18" t="s">
        <v>87</v>
      </c>
      <c r="B67" s="20">
        <v>25000</v>
      </c>
      <c r="C67" s="31">
        <f t="shared" si="2"/>
        <v>-4.3404700459079411E-2</v>
      </c>
    </row>
    <row r="68" spans="1:3" x14ac:dyDescent="0.25">
      <c r="A68" s="18" t="s">
        <v>110</v>
      </c>
      <c r="B68" s="20">
        <v>25350</v>
      </c>
      <c r="C68" s="31">
        <f t="shared" si="2"/>
        <v>-3.1676590693115944E-2</v>
      </c>
    </row>
    <row r="69" spans="1:3" x14ac:dyDescent="0.25">
      <c r="A69" s="18" t="s">
        <v>81</v>
      </c>
      <c r="B69" s="20">
        <v>25900</v>
      </c>
      <c r="C69" s="31">
        <f t="shared" si="2"/>
        <v>-1.3246703918030489E-2</v>
      </c>
    </row>
    <row r="70" spans="1:3" x14ac:dyDescent="0.25">
      <c r="A70" s="18" t="s">
        <v>94</v>
      </c>
      <c r="B70" s="20">
        <v>26250</v>
      </c>
      <c r="C70" s="31">
        <f t="shared" si="2"/>
        <v>-1.5185941520670181E-3</v>
      </c>
    </row>
    <row r="71" spans="1:3" x14ac:dyDescent="0.25">
      <c r="A71" s="18" t="s">
        <v>108</v>
      </c>
      <c r="B71" s="20">
        <v>27125</v>
      </c>
      <c r="C71" s="31">
        <f t="shared" si="2"/>
        <v>2.7801680262841657E-2</v>
      </c>
    </row>
    <row r="72" spans="1:3" x14ac:dyDescent="0.25">
      <c r="A72" s="18" t="s">
        <v>80</v>
      </c>
      <c r="B72" s="20">
        <v>27750</v>
      </c>
      <c r="C72" s="31">
        <f t="shared" si="2"/>
        <v>4.8744733416347857E-2</v>
      </c>
    </row>
    <row r="73" spans="1:3" x14ac:dyDescent="0.25">
      <c r="A73" s="18" t="s">
        <v>98</v>
      </c>
      <c r="B73" s="20">
        <v>30625</v>
      </c>
      <c r="C73" s="31">
        <f t="shared" si="2"/>
        <v>0.14508277792247637</v>
      </c>
    </row>
    <row r="74" spans="1:3" x14ac:dyDescent="0.25">
      <c r="A74" s="18" t="s">
        <v>78</v>
      </c>
      <c r="B74" s="20">
        <v>38250</v>
      </c>
      <c r="C74" s="31">
        <f t="shared" si="2"/>
        <v>0.40058802639525198</v>
      </c>
    </row>
    <row r="75" spans="1:3" x14ac:dyDescent="0.25">
      <c r="A75" s="18" t="s">
        <v>88</v>
      </c>
      <c r="B75" s="20">
        <v>42000</v>
      </c>
      <c r="C75" s="31">
        <f t="shared" si="2"/>
        <v>0.52624634531628911</v>
      </c>
    </row>
    <row r="76" spans="1:3" x14ac:dyDescent="0.25">
      <c r="A76" s="18" t="s">
        <v>48</v>
      </c>
      <c r="B76" s="20">
        <v>42500</v>
      </c>
      <c r="C76" s="31">
        <f t="shared" si="2"/>
        <v>0.54300078783909411</v>
      </c>
    </row>
    <row r="77" spans="1:3" x14ac:dyDescent="0.25">
      <c r="A77" s="18" t="s">
        <v>82</v>
      </c>
      <c r="B77" s="20">
        <v>44625</v>
      </c>
      <c r="C77" s="31">
        <f t="shared" si="2"/>
        <v>0.6142071685610152</v>
      </c>
    </row>
    <row r="78" spans="1:3" x14ac:dyDescent="0.25">
      <c r="A78" s="18" t="s">
        <v>122</v>
      </c>
      <c r="B78" s="20">
        <v>53125</v>
      </c>
      <c r="C78" s="31">
        <f t="shared" si="2"/>
        <v>0.89903269144869946</v>
      </c>
    </row>
    <row r="79" spans="1:3" x14ac:dyDescent="0.25">
      <c r="A79" s="18" t="s">
        <v>86</v>
      </c>
      <c r="B79" s="20">
        <v>58800</v>
      </c>
      <c r="C79" s="31">
        <f t="shared" si="2"/>
        <v>1.0891956140825356</v>
      </c>
    </row>
    <row r="80" spans="1:3" x14ac:dyDescent="0.25">
      <c r="A80" s="18" t="s">
        <v>124</v>
      </c>
      <c r="B80" s="20">
        <v>61625</v>
      </c>
      <c r="C80" s="31">
        <f t="shared" si="2"/>
        <v>1.1838582143363838</v>
      </c>
    </row>
    <row r="81" spans="1:3" x14ac:dyDescent="0.25">
      <c r="A81" s="18" t="s">
        <v>66</v>
      </c>
      <c r="B81" s="20">
        <v>63000</v>
      </c>
      <c r="C81" s="31">
        <f t="shared" si="2"/>
        <v>1.2299329312740974</v>
      </c>
    </row>
    <row r="82" spans="1:3" x14ac:dyDescent="0.25">
      <c r="A82" s="18" t="s">
        <v>123</v>
      </c>
      <c r="B82" s="20">
        <v>63750</v>
      </c>
      <c r="C82" s="31">
        <f t="shared" si="2"/>
        <v>1.2550645950583048</v>
      </c>
    </row>
    <row r="83" spans="1:3" x14ac:dyDescent="0.25">
      <c r="A83" s="18" t="s">
        <v>106</v>
      </c>
      <c r="B83" s="20">
        <v>64500</v>
      </c>
      <c r="C83" s="31">
        <f t="shared" si="2"/>
        <v>1.2801962588425122</v>
      </c>
    </row>
    <row r="84" spans="1:3" x14ac:dyDescent="0.25">
      <c r="A84" s="18" t="s">
        <v>118</v>
      </c>
      <c r="B84" s="20">
        <v>65875</v>
      </c>
      <c r="C84" s="31">
        <f t="shared" si="2"/>
        <v>1.3262709757802258</v>
      </c>
    </row>
    <row r="85" spans="1:3" x14ac:dyDescent="0.25">
      <c r="A85" s="18" t="s">
        <v>132</v>
      </c>
      <c r="B85" s="20">
        <v>72250</v>
      </c>
      <c r="C85" s="31">
        <f t="shared" si="2"/>
        <v>1.539890117945989</v>
      </c>
    </row>
    <row r="86" spans="1:3" x14ac:dyDescent="0.25">
      <c r="A86" s="18" t="s">
        <v>131</v>
      </c>
      <c r="B86" s="20">
        <v>74375</v>
      </c>
      <c r="C86" s="31">
        <f t="shared" si="2"/>
        <v>1.6110964986679102</v>
      </c>
    </row>
    <row r="87" spans="1:3" x14ac:dyDescent="0.25">
      <c r="A87" s="18" t="s">
        <v>120</v>
      </c>
      <c r="B87" s="20">
        <v>76500</v>
      </c>
      <c r="C87" s="31">
        <f t="shared" si="2"/>
        <v>1.6823028793898311</v>
      </c>
    </row>
    <row r="88" spans="1:3" x14ac:dyDescent="0.25">
      <c r="A88" s="18" t="s">
        <v>111</v>
      </c>
      <c r="B88" s="20">
        <v>77400</v>
      </c>
      <c r="C88" s="31">
        <f t="shared" si="2"/>
        <v>1.7124608759308801</v>
      </c>
    </row>
    <row r="89" spans="1:3" x14ac:dyDescent="0.25">
      <c r="A89" s="18" t="s">
        <v>121</v>
      </c>
      <c r="B89" s="20">
        <v>81937.5</v>
      </c>
      <c r="C89" s="31">
        <f t="shared" si="2"/>
        <v>1.8645074418253351</v>
      </c>
    </row>
    <row r="90" spans="1:3" x14ac:dyDescent="0.25">
      <c r="A90" s="18" t="s">
        <v>114</v>
      </c>
      <c r="B90" s="20">
        <v>82875</v>
      </c>
      <c r="C90" s="31">
        <f t="shared" si="2"/>
        <v>1.8959220215555943</v>
      </c>
    </row>
    <row r="91" spans="1:3" x14ac:dyDescent="0.25">
      <c r="A91" s="18" t="s">
        <v>105</v>
      </c>
      <c r="B91" s="20">
        <v>96750</v>
      </c>
      <c r="C91" s="31">
        <f t="shared" si="2"/>
        <v>2.3608578015634323</v>
      </c>
    </row>
    <row r="92" spans="1:3" x14ac:dyDescent="0.25">
      <c r="A92" s="18" t="s">
        <v>49</v>
      </c>
      <c r="B92" s="20">
        <v>103530</v>
      </c>
      <c r="C92" s="31">
        <f t="shared" si="2"/>
        <v>2.5880480421726673</v>
      </c>
    </row>
    <row r="93" spans="1:3" x14ac:dyDescent="0.25">
      <c r="A93" s="18" t="s">
        <v>64</v>
      </c>
      <c r="B93" s="20">
        <v>110000</v>
      </c>
      <c r="C93" s="31">
        <f t="shared" si="2"/>
        <v>2.8048505284177634</v>
      </c>
    </row>
    <row r="94" spans="1:3" x14ac:dyDescent="0.25">
      <c r="A94" s="18" t="s">
        <v>58</v>
      </c>
      <c r="B94" s="20">
        <v>121000</v>
      </c>
      <c r="C94" s="31">
        <f t="shared" si="2"/>
        <v>3.1734482639194725</v>
      </c>
    </row>
    <row r="95" spans="1:3" ht="16.5" thickBot="1" x14ac:dyDescent="0.3">
      <c r="A95" s="18" t="s">
        <v>47</v>
      </c>
      <c r="B95" s="21">
        <v>127500</v>
      </c>
      <c r="C95" s="31">
        <f t="shared" si="2"/>
        <v>3.3912560167159369</v>
      </c>
    </row>
    <row r="96" spans="1:3" ht="16.5" thickTop="1" x14ac:dyDescent="0.25"/>
    <row r="97" spans="1:2" x14ac:dyDescent="0.25">
      <c r="A97" s="18" t="s">
        <v>140</v>
      </c>
      <c r="B97" s="20">
        <f>AVERAGE(B2:B95)</f>
        <v>26295.319148936171</v>
      </c>
    </row>
    <row r="98" spans="1:2" x14ac:dyDescent="0.25">
      <c r="A98" s="18" t="s">
        <v>142</v>
      </c>
      <c r="B98" s="20">
        <f>_xlfn.STDEV.S(B2:B95)</f>
        <v>29842.831196528055</v>
      </c>
    </row>
  </sheetData>
  <sortState ref="A2:C95">
    <sortCondition ref="C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ColWidth="8.85546875" defaultRowHeight="15" x14ac:dyDescent="0.2"/>
  <cols>
    <col min="1" max="1" width="18.140625" style="2" bestFit="1" customWidth="1"/>
    <col min="2" max="2" width="14" style="2" bestFit="1" customWidth="1"/>
    <col min="3" max="3" width="19.5703125" style="2" bestFit="1" customWidth="1"/>
    <col min="4" max="4" width="14" style="2" bestFit="1" customWidth="1"/>
    <col min="5" max="16384" width="8.85546875" style="2"/>
  </cols>
  <sheetData>
    <row r="1" spans="1:4" x14ac:dyDescent="0.2">
      <c r="A1" s="32" t="s">
        <v>26</v>
      </c>
      <c r="B1" s="32"/>
      <c r="C1" s="32" t="s">
        <v>31</v>
      </c>
      <c r="D1" s="32"/>
    </row>
    <row r="2" spans="1:4" x14ac:dyDescent="0.2">
      <c r="A2" s="33"/>
      <c r="B2" s="33"/>
      <c r="C2" s="33"/>
      <c r="D2" s="33"/>
    </row>
    <row r="3" spans="1:4" x14ac:dyDescent="0.2">
      <c r="A3" s="33" t="s">
        <v>140</v>
      </c>
      <c r="B3" s="33">
        <v>26295.319148936171</v>
      </c>
      <c r="C3" s="33" t="s">
        <v>140</v>
      </c>
      <c r="D3" s="33">
        <v>30.638297872340427</v>
      </c>
    </row>
    <row r="4" spans="1:4" x14ac:dyDescent="0.2">
      <c r="A4" s="33" t="s">
        <v>143</v>
      </c>
      <c r="B4" s="33">
        <v>3078.0530144613763</v>
      </c>
      <c r="C4" s="33" t="s">
        <v>143</v>
      </c>
      <c r="D4" s="33">
        <v>0.70229402575506317</v>
      </c>
    </row>
    <row r="5" spans="1:4" x14ac:dyDescent="0.2">
      <c r="A5" s="33" t="s">
        <v>37</v>
      </c>
      <c r="B5" s="33">
        <v>15656.25</v>
      </c>
      <c r="C5" s="33" t="s">
        <v>37</v>
      </c>
      <c r="D5" s="33">
        <v>30</v>
      </c>
    </row>
    <row r="6" spans="1:4" x14ac:dyDescent="0.2">
      <c r="A6" s="33" t="s">
        <v>144</v>
      </c>
      <c r="B6" s="33">
        <v>14910</v>
      </c>
      <c r="C6" s="33" t="s">
        <v>144</v>
      </c>
      <c r="D6" s="33">
        <v>30</v>
      </c>
    </row>
    <row r="7" spans="1:4" x14ac:dyDescent="0.2">
      <c r="A7" s="33" t="s">
        <v>142</v>
      </c>
      <c r="B7" s="33">
        <v>29842.831196528055</v>
      </c>
      <c r="C7" s="33" t="s">
        <v>142</v>
      </c>
      <c r="D7" s="33">
        <v>6.8089932052732891</v>
      </c>
    </row>
    <row r="8" spans="1:4" x14ac:dyDescent="0.2">
      <c r="A8" s="33" t="s">
        <v>145</v>
      </c>
      <c r="B8" s="33">
        <v>890594573.82446814</v>
      </c>
      <c r="C8" s="33" t="s">
        <v>145</v>
      </c>
      <c r="D8" s="33">
        <v>46.362388469457819</v>
      </c>
    </row>
    <row r="9" spans="1:4" x14ac:dyDescent="0.2">
      <c r="A9" s="33" t="s">
        <v>146</v>
      </c>
      <c r="B9" s="33">
        <v>2.0796373022614776</v>
      </c>
      <c r="C9" s="33" t="s">
        <v>146</v>
      </c>
      <c r="D9" s="33">
        <v>1.5121885619664428</v>
      </c>
    </row>
    <row r="10" spans="1:4" x14ac:dyDescent="0.2">
      <c r="A10" s="33" t="s">
        <v>147</v>
      </c>
      <c r="B10" s="33">
        <v>1.6642715185530272</v>
      </c>
      <c r="C10" s="33" t="s">
        <v>147</v>
      </c>
      <c r="D10" s="33">
        <v>0.59926500343251909</v>
      </c>
    </row>
    <row r="11" spans="1:4" x14ac:dyDescent="0.2">
      <c r="A11" s="33" t="s">
        <v>148</v>
      </c>
      <c r="B11" s="33">
        <v>127431.25</v>
      </c>
      <c r="C11" s="33" t="s">
        <v>148</v>
      </c>
      <c r="D11" s="33">
        <v>30</v>
      </c>
    </row>
    <row r="12" spans="1:4" x14ac:dyDescent="0.2">
      <c r="A12" s="33" t="s">
        <v>149</v>
      </c>
      <c r="B12" s="33">
        <v>68.75</v>
      </c>
      <c r="C12" s="33" t="s">
        <v>149</v>
      </c>
      <c r="D12" s="33">
        <v>15</v>
      </c>
    </row>
    <row r="13" spans="1:4" x14ac:dyDescent="0.2">
      <c r="A13" s="33" t="s">
        <v>150</v>
      </c>
      <c r="B13" s="33">
        <v>127500</v>
      </c>
      <c r="C13" s="33" t="s">
        <v>150</v>
      </c>
      <c r="D13" s="33">
        <v>45</v>
      </c>
    </row>
    <row r="14" spans="1:4" x14ac:dyDescent="0.2">
      <c r="A14" s="33" t="s">
        <v>136</v>
      </c>
      <c r="B14" s="33">
        <v>2471760</v>
      </c>
      <c r="C14" s="33" t="s">
        <v>136</v>
      </c>
      <c r="D14" s="33">
        <v>2880</v>
      </c>
    </row>
    <row r="15" spans="1:4" ht="15.75" thickBot="1" x14ac:dyDescent="0.25">
      <c r="A15" s="34" t="s">
        <v>151</v>
      </c>
      <c r="B15" s="34">
        <v>94</v>
      </c>
      <c r="C15" s="34" t="s">
        <v>151</v>
      </c>
      <c r="D15" s="3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Mean</vt:lpstr>
      <vt:lpstr>Median</vt:lpstr>
      <vt:lpstr>Variance</vt:lpstr>
      <vt:lpstr>z-scores</vt:lpstr>
      <vt:lpstr>Descriptive Statistics</vt:lpstr>
    </vt:vector>
  </TitlesOfParts>
  <Company>Azimuth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Langley</dc:creator>
  <cp:lastModifiedBy>jaymoh</cp:lastModifiedBy>
  <cp:lastPrinted>2001-12-05T15:40:15Z</cp:lastPrinted>
  <dcterms:created xsi:type="dcterms:W3CDTF">2001-11-27T21:31:21Z</dcterms:created>
  <dcterms:modified xsi:type="dcterms:W3CDTF">2024-05-02T12:46:09Z</dcterms:modified>
</cp:coreProperties>
</file>